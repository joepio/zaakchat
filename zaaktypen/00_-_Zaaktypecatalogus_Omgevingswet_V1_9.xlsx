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1561" documentId="13_ncr:1_{DD659365-02F3-4FDC-92DE-0599528BEFA7}" xr6:coauthVersionLast="47" xr6:coauthVersionMax="47" xr10:uidLastSave="{15101E9D-CDA3-4E8C-8F5B-A50D3D913E40}"/>
  <bookViews>
    <workbookView xWindow="-120" yWindow="-16320" windowWidth="29040" windowHeight="15720" tabRatio="610" xr2:uid="{00000000-000D-0000-FFFF-FFFF00000000}"/>
  </bookViews>
  <sheets>
    <sheet name="Zaaktypecatalogus" sheetId="1" r:id="rId1"/>
    <sheet name="Zaaktypen" sheetId="2" r:id="rId2"/>
    <sheet name="Informatieobjecttypen" sheetId="3" r:id="rId3"/>
    <sheet name="Besluittypen " sheetId="5" r:id="rId4"/>
  </sheets>
  <definedNames>
    <definedName name="_xlnm._FilterDatabase" localSheetId="3" hidden="1">'Besluittypen '!$A$2:$AMI$19</definedName>
    <definedName name="_xlnm._FilterDatabase" localSheetId="2" hidden="1">Informatieobjecttypen!$A$2:$AMF$2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5" l="1"/>
  <c r="A1" i="3"/>
  <c r="A1" i="2"/>
</calcChain>
</file>

<file path=xl/sharedStrings.xml><?xml version="1.0" encoding="utf-8"?>
<sst xmlns="http://schemas.openxmlformats.org/spreadsheetml/2006/main" count="1616" uniqueCount="482">
  <si>
    <t>DOMEIN</t>
  </si>
  <si>
    <t>OMGWT</t>
  </si>
  <si>
    <t>RSIN</t>
  </si>
  <si>
    <t>NAAM</t>
  </si>
  <si>
    <t>Zaaktypecatalogus Omgevingswet</t>
  </si>
  <si>
    <t>VERSIE</t>
  </si>
  <si>
    <t>BEGINDATUM VERSIE</t>
  </si>
  <si>
    <t>CONTACTPERSOON NAAM</t>
  </si>
  <si>
    <t>VNG</t>
  </si>
  <si>
    <t>CONTACTPERSOON TELEFOONNR.</t>
  </si>
  <si>
    <t>CONTACTPERSOON E-MAILADRES</t>
  </si>
  <si>
    <t>omgevingswet@vng.nl</t>
  </si>
  <si>
    <t>Identificatie</t>
  </si>
  <si>
    <t>Omschrijving</t>
  </si>
  <si>
    <t>Versiedatum</t>
  </si>
  <si>
    <t>01</t>
  </si>
  <si>
    <t>Advies verstrekken</t>
  </si>
  <si>
    <t>02</t>
  </si>
  <si>
    <t>Advies verstrekken (informeel)</t>
  </si>
  <si>
    <t>03</t>
  </si>
  <si>
    <t>Last onder bestuursdwang ten uitvoer leggen</t>
  </si>
  <si>
    <t>04</t>
  </si>
  <si>
    <t>Controle uitvoeren</t>
  </si>
  <si>
    <t>05</t>
  </si>
  <si>
    <t>Handhavingsbesluit nemen</t>
  </si>
  <si>
    <t>06</t>
  </si>
  <si>
    <t>Handhavingsverzoek behandelen</t>
  </si>
  <si>
    <t>07</t>
  </si>
  <si>
    <t>Incidentmelding behandelen</t>
  </si>
  <si>
    <t>08</t>
  </si>
  <si>
    <t>Last onder dwangsom ten uitvoer leggen</t>
  </si>
  <si>
    <t>09</t>
  </si>
  <si>
    <t>Melding activiteit behandelen</t>
  </si>
  <si>
    <t>Aanvraag beschikking regulier behandelen</t>
  </si>
  <si>
    <t>Aanvraag beschikking uitgebreid behandelen</t>
  </si>
  <si>
    <t>Zienswijze behandelen</t>
  </si>
  <si>
    <t>Beroep behandelen</t>
  </si>
  <si>
    <t>Voorlopige voorziening behandelen</t>
  </si>
  <si>
    <t>Bezwaar behandelen</t>
  </si>
  <si>
    <t>Ambtshalve beschikken</t>
  </si>
  <si>
    <t>Nadeelcompensatieverzoek behandelen</t>
  </si>
  <si>
    <t>Bibob-onderzoek uitvoeren</t>
  </si>
  <si>
    <t>Bezwaar behandelen zonder bezwaarcommissie</t>
  </si>
  <si>
    <t>Verkennen en begeleiden initiatief</t>
  </si>
  <si>
    <t>Informatieplicht verwerken</t>
  </si>
  <si>
    <t>OMSCHRIJVING</t>
  </si>
  <si>
    <t>OMSCHRIJVING GENERIEK</t>
  </si>
  <si>
    <t>CATEGORIE</t>
  </si>
  <si>
    <t>TREFWOORDEN</t>
  </si>
  <si>
    <t>Vertrouwelijkheid</t>
  </si>
  <si>
    <t>MODEL</t>
  </si>
  <si>
    <t>TOELICHTING</t>
  </si>
  <si>
    <t>DATUM BEGIN GELDIGHEID</t>
  </si>
  <si>
    <t>DATUM EINDE GELDIGHEID</t>
  </si>
  <si>
    <t>WORDT TOEGEPAST IN ZAAKTYPEN</t>
  </si>
  <si>
    <t>TOEGEPAST IN # ZAAKTYPEN</t>
  </si>
  <si>
    <t>LEGT VAST BESLUITTYPEN</t>
  </si>
  <si>
    <t>Aankondiging controle</t>
  </si>
  <si>
    <t>Mededeling</t>
  </si>
  <si>
    <t> </t>
  </si>
  <si>
    <t>Openbaar</t>
  </si>
  <si>
    <t>4 - Controle uitvoeren  </t>
  </si>
  <si>
    <t>Aankondiging toepassing bestuursdwang</t>
  </si>
  <si>
    <t>Aankondiging van de toepassing van de bestuursdwang door de zaakbehandelende organisatie op de in de aankondiging vermelde datum en tijd. Indien een plaats zal worden betreden die niet bij de overtreding betrokken is, zal dit ten minste achtenveertig uren voor de toepassing van bestuursdwang aan de rechthebbende worden aangezegd, tenzij dat vanwege vereiste spoed niet mogelijk is (art. 5:27, lid 3 en lid 4 Algemene wet bestuursrecht).</t>
  </si>
  <si>
    <t>3 - Last onder bestuursdwang ten uitvoer leggen  </t>
  </si>
  <si>
    <t>Aanvraag</t>
  </si>
  <si>
    <t>Verzoek</t>
  </si>
  <si>
    <t>Conform zaakvertrouwelijkheid</t>
  </si>
  <si>
    <t>Het bericht waarin een belanghebbende verzoekt om een besluit, zoals de (wijziging of intrekking van een) vergunning, het verzoek om maatwerk of de (interne) opdracht tot ambtshalve wijziging of intrekking van een bestaande vergunning.</t>
  </si>
  <si>
    <t>10 - Aanvraag beschikking regulier behandelen  , 11 - Aanvraag beschikking uitgebreid behandelen  </t>
  </si>
  <si>
    <t>Aanvullend stuk</t>
  </si>
  <si>
    <t>Brief</t>
  </si>
  <si>
    <t>Een stuk dat relevant is voor het behandelen van het bezwaar of het (hoger) beroep. De omschrijving-generiek en de categorie zijn afhankelijk van het soort stuk.</t>
  </si>
  <si>
    <t xml:space="preserve">13 - Beroep behandelen  , 13 - Beroep behandelen  , 14 - Voorlopige voorziening behandelen  , 14 - Voorlopige voorziening behandelen  , 16 - Bezwaar behandelen  , 16 - Bezwaar behandelen  , 18 - Nadeelcompensatieverzoek behandelen , 18 - Nadeelcompensatieverzoek behandelen, 20 - Bezwaar behandelen zonder bezwaarcommissie
</t>
  </si>
  <si>
    <t>Aanvullende informatie</t>
  </si>
  <si>
    <t>De informatie die ontvangen is naar aanleiding van het verzoek om aanvullende informatie.</t>
  </si>
  <si>
    <t>1 - Advies verstrekken  , 2 - Advies verstrekken (informeel) / Vooroverleg voeren  , 6 - Handhavingsverzoek behandelen  , 9 - Melding activiteit behandelen  , 10 - Aanvraag beschikking regulier behandelen  , 11 - Aanvraag beschikking uitgebreid behandelen  , 12 - Zienswijze behandelen  , 21 - Verkennen en begeleiden initiatief</t>
  </si>
  <si>
    <t>Aanvulling verweerschrift (dupliek)</t>
  </si>
  <si>
    <t>Een aanvulling op het verweerschrift (dupliek) naar aanleiding van een via de rechtsprekende instantie ontvangen reactie op het verweerschrift (repliek) door eiser.</t>
  </si>
  <si>
    <t>13 - Beroep behandelen  </t>
  </si>
  <si>
    <t>Advies</t>
  </si>
  <si>
    <t>Het advies(rapport) aan de zaakbehandelende organisatie van een adviseur over een specifiek onderwerp. Het advies wordt in de regel gegeven op verzoek van de zaakbehandelende organisatie, maar kan ook - als dat zo is bepaald in regelgeving - ongevraagd worden verstrekt.</t>
  </si>
  <si>
    <t xml:space="preserve">2 - Advies verstrekken (informeel) / Vooroverleg voeren  , 2 - Advies verstrekken (informeel) / Vooroverleg voeren  , 3 - Last onder bestuursdwang ten uitvoer leggen  , 3 - Last onder bestuursdwang ten uitvoer leggen  , 4 - Controle uitvoeren  , 4 - Controle uitvoeren  , 5 - Handhavingsbesluit nemen  , 5 - Handhavingsbesluit nemen  , 6 - Handhavingsverzoek behandelen  , 6 - Handhavingsverzoek behandelen  , 7 - Incidentmelding behandelen  , 7 - Incidentmelding behandelen  , 9 - Melding activiteit behandelen  , 9 - Melding activiteit behandelen  , 10 - Aanvraag beschikking regulier behandelen  , 10 - Aanvraag beschikking regulier behandelen  , 11 - Aanvraag beschikking uitgebreid behandelen  , 11 - Aanvraag beschikking uitgebreid behandelen  , 12 - Zienswijze behandelen  , 12 - Zienswijze behandelen  , 13 - Beroep behandelen  , 13 - Beroep behandelen  , 14 - Voorlopige voorziening behandelen  , 14 - Voorlopige voorziening behandelen  , 16 - Bezwaar behandelen  , 16 - Bezwaar behandelen  , 18 - Nadeelcompensatieverzoek behandelen , 18 - Nadeelcompensatieverzoek behandelen , 19 - Bibob-onderzoek uitvoeren , 21 - Verkennen en begeleiden initiatief , 21 - Verkennen en begeleiden initiatief , 20 - Bezwaar behandelen zonder bezwaarcommissie , 20 - Bezwaar behandelen zonder bezwaarcommissie , 22 - Informatieplicht verwerken
</t>
  </si>
  <si>
    <t>Advies van Adviescommissie Bezwaar(schriften)</t>
  </si>
  <si>
    <t>Advies van de bezwarencommissie op het bezwaarschrift.</t>
  </si>
  <si>
    <t>16 - Bezwaar behandelen  </t>
  </si>
  <si>
    <t>Adviesaanvraag</t>
  </si>
  <si>
    <t>Het verzoek van de zaakbehandelende organisatie aan een adviseur te adviseren over het in de adviesaanvraag benoemde onderwerp. De adviesaanvraag bevat/gaat vergezeld van alle voor het advies relevante informatie waarover de adviesaanvrager beschikt.</t>
  </si>
  <si>
    <t>1 - Advies verstrekken  , 2 - Advies verstrekken (informeel) / Vooroverleg voeren  , 3 - Last onder bestuursdwang ten uitvoer leggen  , 3 - Last onder bestuursdwang ten uitvoer leggen  , 4 - Controle uitvoeren  , 4 - Controle uitvoeren  , 5 - Handhavingsbesluit nemen  , 5 - Handhavingsbesluit nemen  , 6 - Handhavingsverzoek behandelen  , 6 - Handhavingsverzoek behandelen  , 9 - Melding activiteit behandelen  , 9 - Melding activiteit behandelen  , 10 - Aanvraag beschikking regulier behandelen  , 10 - Aanvraag beschikking regulier behandelen  , 11 - Aanvraag beschikking uitgebreid behandelen  , 11 - Aanvraag beschikking uitgebreid behandelen  , 12 - Zienswijze behandelen  , 12 - Zienswijze behandelen  , 13 - Beroep behandelen  , 13 - Beroep behandelen  , 14 - Voorlopige voorziening behandelen  , 14 - Voorlopige voorziening behandelen  , 16 - Bezwaar behandelen  , 16 - Bezwaar behandelen  , 18 - Nadeelcompensatieverzoek behandelen , 18 - Nadeelcompensatieverzoek behandelen, 21 - Verkennen en begeleiden initiatief , 21 - Verkennen en begeleiden initiatief , 20 - Bezwaar behandelen zonder bezwaarcommissie , 20 - Bezwaar behandelen zonder bezwaarcommissie , 22 - Informatieplicht verwerken</t>
  </si>
  <si>
    <t>Adviesbrief</t>
  </si>
  <si>
    <t>Het samenvoegen van ingewonnen adviezen.</t>
  </si>
  <si>
    <t>2 - Advies verstrekken (informeel) / Vooroverleg voeren </t>
  </si>
  <si>
    <t>Adviesrapport</t>
  </si>
  <si>
    <t>Rapport</t>
  </si>
  <si>
    <t>Verslag</t>
  </si>
  <si>
    <t>De rapportage met de resultaten van de uitgevoerde beoordeling. De hierin verwoorde beoordeling heeft een voorschrijvend karakter, voor zover van toepassing (niet in geval van voortijdige beëindiging van de beoordeling).</t>
  </si>
  <si>
    <t>1 - Advies verstrekken  , 1 - Advies verstrekken  , 19 - Bibob-onderzoek uitvoeren</t>
  </si>
  <si>
    <t>Afrondingsbrief</t>
  </si>
  <si>
    <t xml:space="preserve">Brief waarmee het eindresultaat van de zaak bekend wordt gemaakt aan de aanvrager of klant. </t>
  </si>
  <si>
    <t>21 - Verkennen en begeleiden initiatief</t>
  </si>
  <si>
    <t>Anterieure overeenkomst</t>
  </si>
  <si>
    <t>Overeenkomst</t>
  </si>
  <si>
    <t>Overeenkomst met als doel afspraken vast te leggen tussen gemeente en particuliere partij.</t>
  </si>
  <si>
    <t>Begeleidende brief bij besluit</t>
  </si>
  <si>
    <t>Brief bij het definitieve besluit.</t>
  </si>
  <si>
    <t xml:space="preserve">10 - Aanvraag beschikking regulier behandelen  , 11 - Aanvraag beschikking uitgebreid behandelen  
</t>
  </si>
  <si>
    <t>Begeleidende brief bij ontwerpbesluit</t>
  </si>
  <si>
    <t>Begeleidend schrijven van het bevoegd gezag waarin het aan belanghebbenden kennis geeft van - de aanstaande terinzagelegging van - het ontwerpbesluit dat als bijlage bij het begeleidend schrijven is gevoegd (art. 3:13, lid 1 Algemene wet bestuursrecht).</t>
  </si>
  <si>
    <t xml:space="preserve">11 - Aanvraag beschikking uitgebreid behandelen  
</t>
  </si>
  <si>
    <t>Beoordeling globaal ontwerp/concept</t>
  </si>
  <si>
    <t>Beoordeling</t>
  </si>
  <si>
    <t xml:space="preserve">Vastlegging door bevoegdgezag en ketenpartners in hoevere is voldaan aan de gestelde programma van eisen en wensen. </t>
  </si>
  <si>
    <t>Bericht afhandeling melding</t>
  </si>
  <si>
    <t>Verklaring</t>
  </si>
  <si>
    <t>Melding</t>
  </si>
  <si>
    <t>Bericht aan de melder dat de melding wel/niet geaccepteerd en gepubliceerd is. Eventueel is hierin opgenomen de mededeling dat voor de gemelde activiteiten maatwerk opgelegd gaat worden, dat een besluit zal worden genomen over een verplicht in te dienen akoestisch onderzoek, of dat de activiteit vergunningplichtig is.</t>
  </si>
  <si>
    <t>9 - Melding activiteit behandelen  </t>
  </si>
  <si>
    <t>Bericht afhandelen informatieplicht</t>
  </si>
  <si>
    <t xml:space="preserve">Bericht aan de indiener dat de informatieplicht wel/niet verwerkt is. </t>
  </si>
  <si>
    <t>22 - Informatieplicht verwerken</t>
  </si>
  <si>
    <t>Bericht ander bevoegd gezag</t>
  </si>
  <si>
    <t>De mededeling aan de (aan)vrager, melder of verzoeker dat een andere overheidsorganisatie het bevoegd gezag is voor de behandeling van de (aan)vraag, de melding of het verzoek en dat de (aan)vraag, de melding of het verzoek aan dat bevoegd gezag overgedragen/doorgezonden is.</t>
  </si>
  <si>
    <t>2 - Advies verstrekken (informeel) / Vooroverleg voeren  , 6 - Handhavingsverzoek behandelen  , 7 - Incidentmelding behandelen  , 9 - Melding activiteit behandelen  , 10 - Aanvraag beschikking regulier behandelen  , 11 - Aanvraag beschikking uitgebreid behandelen  , 13 - Beroep behandelen  , 14 - Voorlopige voorziening behandelen  , 16 - Bezwaar behandelen  , 18 - Nadeelcompensatieverzoek behandelen , 20 - Bezwaar behandelen zonder bezwaarcommissie , 22 - Informatieplicht verwerken</t>
  </si>
  <si>
    <t>Bericht niet-informatieplichtig</t>
  </si>
  <si>
    <t>De mededeling dat voor de ingediende informatieplicht geen informatieplicht nodig is.</t>
  </si>
  <si>
    <t>Bericht niet-meldingplichtig</t>
  </si>
  <si>
    <t>De mededeling dat voor de gemelde activiteiten geen melding nodig is.</t>
  </si>
  <si>
    <t>Bericht van intrekking</t>
  </si>
  <si>
    <t>Mededeling van intrekking (van een aanvraag, een verzoek, een melding, een zienswijze, een bezwaarschrift, (hoger) beroep) door de initiator van de zaak van onderhavig zaaktype.</t>
  </si>
  <si>
    <t>6 - Handhavingsverzoek behandelen  , 7 - Incidentmelding behandelen  , 9 - Melding activiteit behandelen  , 10 - Aanvraag beschikking regulier behandelen  , 11 - Aanvraag beschikking uitgebreid behandelen  , 12 - Zienswijze behandelen  , 13 - Beroep behandelen  , 14 - Voorlopige voorziening behandelen  , 16 - Bezwaar behandelen  , 18 - Nadeelcompensatieverzoek behandelen , 20 - Bezwaar behandelen zonder bezwaarcommissie , 21 - Verkennen en begeleiden initiatief , 22 - Informatieplicht verwerken</t>
  </si>
  <si>
    <t>Beroepschrift</t>
  </si>
  <si>
    <t>Een kopie van het beroepschrift zoals ingediend bij de Rechtbank of Raad van State.</t>
  </si>
  <si>
    <t>Beschikking aanhouding beslissing</t>
  </si>
  <si>
    <t>Beschikking</t>
  </si>
  <si>
    <t>Besluit</t>
  </si>
  <si>
    <t>Bericht waarin de beschikking tot aanhouding van de beslissing (bijv. op grond van art. 3.4, lid 1 Wet algemene bepalingen omgevingsrecht) wordt bekendgemaakt (conform art. 3:41 Algemene wet bestuursrecht).</t>
  </si>
  <si>
    <t>Beschikking aanhouding beslissing  </t>
  </si>
  <si>
    <t>Beschikking ambtshalve</t>
  </si>
  <si>
    <t>Bericht waarin de beschikking ambtshalve wordt bekendgemaakt (conform art. 3:41 Algemene wet bestuursrecht).</t>
  </si>
  <si>
    <t>17 - Ambtshalve beschikken</t>
  </si>
  <si>
    <t>Beschikking bestuurlijke boete</t>
  </si>
  <si>
    <t>Het document waarin de beschikking om een bestuurlijke boete op te leggen is vastgelegd. </t>
  </si>
  <si>
    <t xml:space="preserve">5 - Handhavingsbesluit nemen  </t>
  </si>
  <si>
    <t>Beschikking buiten behandeling laten</t>
  </si>
  <si>
    <t>Bericht waarin de beschikking tot het buiten behandeling laten van de aanvraag (art. 4:5 Algemene wet bestuursrecht) wordt bekendgemaakt (conform art. 3:41 Algemene wet bestuursrecht).</t>
  </si>
  <si>
    <t xml:space="preserve">6 - Handhavingsverzoek behandelen  , 10 - Aanvraag beschikking regulier behandelen  , 11 - Aanvraag beschikking uitgebreid behandelen  
</t>
  </si>
  <si>
    <t>Beschikking buiten behandeling laten  </t>
  </si>
  <si>
    <t>Beschikking nadeelcompensatie</t>
  </si>
  <si>
    <t>Bericht waarin de beschikking op het verzoek nadeelcompensatie wordt bekendgemaakt (conform art. 3:4 Algemene wet bestuursrecht en aanvullende regels in Invoeringswet Omgevingswet 15.1 en 15.4).</t>
  </si>
  <si>
    <t>18 - Nadeelcompensatieverzoek behandelen</t>
  </si>
  <si>
    <t>Beschikking niet-vergunning- of ontheffingplichtig</t>
  </si>
  <si>
    <t>Bericht waarin de beschikking wordt bekendgemaakt (conform art. 3:41 Algemene wet bestuursrecht) dat voor de activiteit(en) waarvoor in de aanvraag toestemming/ontheffing is gevraagd, geen toestemming/ontheffing hoeft te worden verleend.</t>
  </si>
  <si>
    <t>Beschikking op aanvraag</t>
  </si>
  <si>
    <t>Beschikking op aanvraag  </t>
  </si>
  <si>
    <t>Beschikking op handhavingsverzoek</t>
  </si>
  <si>
    <t>Het document waarin de beschikking op het handhavingsverzoek is vastgelegd. </t>
  </si>
  <si>
    <t>6 - Handhavingsverzoek behandelen  </t>
  </si>
  <si>
    <t>Beschikking op handhavingsverzoek  </t>
  </si>
  <si>
    <t>Beschikking verlenging beslistermijn</t>
  </si>
  <si>
    <t>Bericht waarin de beschikking tot het verlengen van de beslistermijn (art. 3:18, lid 2 Algemene wet bestuursrecht) over de aanvraag wordt bekendgemaakt (conform art. 3:41 Algemene wet bestuursrecht).</t>
  </si>
  <si>
    <t>Beschikking verlenging beslistermijn  </t>
  </si>
  <si>
    <t>Beschikking wijziging last onder dwangsom</t>
  </si>
  <si>
    <t>Bericht van de beschikking strekkende tot opheffing of opschorting van de last op verzoek van de overtreder aan wie een last onder dwangsom is opgelegd (op grond van art. 5:34 Algemene wet bestuursrecht).</t>
  </si>
  <si>
    <r>
      <rPr>
        <sz val="10"/>
        <color rgb="FFFF0000"/>
        <rFont val="Arial"/>
      </rPr>
      <t xml:space="preserve">
</t>
    </r>
    <r>
      <rPr>
        <sz val="10"/>
        <color rgb="FF000000"/>
        <rFont val="Arial"/>
      </rPr>
      <t>8 - Last onder dwangsom ten uitvoer leggen  </t>
    </r>
  </si>
  <si>
    <t>Beschikking wijziging last onder dwangsom  </t>
  </si>
  <si>
    <t>Beslissing op bezwaar</t>
  </si>
  <si>
    <t>Het besluit van het bevoegd gezag op het bezwaar, met eventueel de aanpassingen op het bestreden besluit, alsmede een mogelijke proceskostenvergoeding voor bezwaarmaker en/of belanghebbende.</t>
  </si>
  <si>
    <t>16 - Bezwaar behandelen , 20 - Bezwaar behandelen zonder bezwaarcommissie</t>
  </si>
  <si>
    <t>Beslissing op bezwaar  </t>
  </si>
  <si>
    <t>Beslissing op verzoek</t>
  </si>
  <si>
    <t>De door de Rechtbank of Afdeling bestuursrechtspraak van de Raad van State genomen beslissing op het verzoek om voorlopige voorziening.</t>
  </si>
  <si>
    <t>14 - Voorlopige voorziening behandelen  </t>
  </si>
  <si>
    <t>Bestreden besluit</t>
  </si>
  <si>
    <t>Het besluit waartegen het bezwaar gericht is.</t>
  </si>
  <si>
    <t>13 - Beroep behandelen  , 14 - Voorlopige voorziening behandelen  , 16 - Bezwaar behandelen  , 18 - Nadeelcompensatieverzoek behandelen , 20 - Bezwaar behandelen zonder bezwaarcommissie</t>
  </si>
  <si>
    <t>Bestuurlijke strafbeschikking</t>
  </si>
  <si>
    <t>Het document waarin de beschikking om een bestuurlijke straf op te leggen is vastgelegd. </t>
  </si>
  <si>
    <t>Bevestiging van intrekking</t>
  </si>
  <si>
    <t>Bevestiging van de zaakbehandelende organisatie dat de behandeling van de zaak voortijdig wordt beëindigd naar aanleiding van het bericht van intrekking (van een aanvraag, een verzoek, een melding, een zienswijze, een bezwaarschrift, (hoger) beroep) door de initiator van de zaak van onderhavig zaaktype.</t>
  </si>
  <si>
    <t>Bewijsmateriaal</t>
  </si>
  <si>
    <t>Tijdens een controle gecrëerd of verzameld materiaal dat dient ter ondersteuning/onderbouwing van de bevindingen. Bewijsmateriaal kan uiteenlopend van aard en vorm zijn (denk aan fotokopieën, audio-visueel materiaal, metingen, monsters, et cetera).</t>
  </si>
  <si>
    <t>Bewijsstuk</t>
  </si>
  <si>
    <t>Een document waaruit geschiktheid blijkt van een object of subject voor een bepaalde toepassing. Bijvoorbeeld een certificaat.</t>
  </si>
  <si>
    <t>Bezoeknotitie</t>
  </si>
  <si>
    <t>De tijdens het controlebezoek gemaakte aantekeningen.</t>
  </si>
  <si>
    <t>Bezwaarschrift</t>
  </si>
  <si>
    <t>Het bezwaarschrift zoals ingediend.</t>
  </si>
  <si>
    <t>Bibob-adviesaanvraag</t>
  </si>
  <si>
    <t>Vertrouwelijk</t>
  </si>
  <si>
    <r>
      <t>De Bibob-adviesaanvraag dient digitaal via de Bestandenpostbus ingediend te worden met de bijbehorende bijlagen (formulieren) bij het Landelijk Bureau
Bibob(LBB). Deze wordt ingediend als er voldoende concrete twijfels zijn over de integriteit van de
betrokkene en/of zijn zakelijke relaties</t>
    </r>
    <r>
      <rPr>
        <b/>
        <sz val="10"/>
        <rFont val="Arial"/>
        <family val="2"/>
      </rPr>
      <t>.</t>
    </r>
    <r>
      <rPr>
        <sz val="10"/>
        <rFont val="Arial"/>
        <family val="2"/>
      </rPr>
      <t xml:space="preserve"> </t>
    </r>
  </si>
  <si>
    <t>19 - Bibob-onderzoek uitvoeren</t>
  </si>
  <si>
    <t>Brief buiten behandeling stellen</t>
  </si>
  <si>
    <t>Document waarin is vermeld tot het niet-ontvankelijk verklaren cq. het buiten-behandeling stellen.</t>
  </si>
  <si>
    <t>Controlelijst</t>
  </si>
  <si>
    <t>Verspreidingslijst</t>
  </si>
  <si>
    <t>controle, inspectie</t>
  </si>
  <si>
    <t>De lijst met te controleren aspecten die tijdens een controle wordt gebruikt voor het vastleggen van bevindingen. De controlelijst kan - een - onderdeel zijn van het controlerapport, maar ook separaat voorkomen.</t>
  </si>
  <si>
    <t>Controlerapport</t>
  </si>
  <si>
    <t>Formele rapportage van constateringen tijdens het controlebezoek.</t>
  </si>
  <si>
    <t>3 - Last onder bestuursdwang ten uitvoer leggen  , 4 - Controle uitvoeren  , 5 - Handhavingsbesluit nemen  , 6 - Handhavingsverzoek behandelen  , 7 - Incidentmelding behandelen  , 8 - Last onder dwangsom ten uitvoer leggen  , 13 - Beroep behandelen  , 16 - Bezwaar behandelen  , 18 - Nadeelcompensatieverzoek behandelen , 20 - Bezwaar behandelen zonder bezwaarcommissie</t>
  </si>
  <si>
    <t>Factuur</t>
  </si>
  <si>
    <t>Door partijen (ook de eigen organisatie) ingediende factuur voor geleverde producten en/of diensten ten behoeve van de uitvoering van de zaak van onderhavig zaaktype.</t>
  </si>
  <si>
    <t>Formulier bevindingen eigen onderzoek</t>
  </si>
  <si>
    <t>Formulier</t>
  </si>
  <si>
    <t>Het formulier waarin de bevindingen van het eigen onderzoek vastgelegd worden.</t>
  </si>
  <si>
    <t>Globaal ontwerp/concept</t>
  </si>
  <si>
    <t>Concept</t>
  </si>
  <si>
    <t xml:space="preserve">Het ontwerp/concept dat wordt ingediend waaruit moet blijken in hoevere kan worden voldaan aan het programma van eisen en wensen. </t>
  </si>
  <si>
    <t>Handhavingsbeschikking</t>
  </si>
  <si>
    <t>De beschikking met de opgelegde bestuursdwang.</t>
  </si>
  <si>
    <t>5 - Handhavingsbesluit nemen  </t>
  </si>
  <si>
    <t>Handhavingsbeschikking  </t>
  </si>
  <si>
    <t>Handhavingsverzoek</t>
  </si>
  <si>
    <t>handhaving</t>
  </si>
  <si>
    <t>Het formele verzoek van een burger, bedrijf of overheid aan het bevoegd gezag om handhavend op te treden tegen een vermeende overtreding. De beslissing van het bevoegd gezag op het handhavingsverzoek kwalificeert als een beschikking (art. 1:3 lid 2 Algemene wet bestuursrecht). </t>
  </si>
  <si>
    <t>Handhavingsvoornemen</t>
  </si>
  <si>
    <t>Aankondiging van het voornemen tot handhaving aan de overtreder.</t>
  </si>
  <si>
    <t>5 - Handhavingsbesluit nemen  , 6 - Handhavingsverzoek behandelen  </t>
  </si>
  <si>
    <t>Herinnering aanleveren gegevens BIBOB</t>
  </si>
  <si>
    <t>Bericht waarin het bevoegd gezag een herinnering voor het aanleveren van de gevraagde gegevens kenbaar maakt aan betrokkene</t>
  </si>
  <si>
    <t>Incidentmelding</t>
  </si>
  <si>
    <t>De beschrijving van de melding van het incident zoals dat door de melder is ingediend. De melding kan op papier, per email, telefoon, webformulier of anderszins ontvangen zijn.</t>
  </si>
  <si>
    <t>7 - Incidentmelding behandelen  </t>
  </si>
  <si>
    <t>Indicatorenlijst milieubranche</t>
  </si>
  <si>
    <t xml:space="preserve">De indicatorenlijst wordt gebruikt (voor intern gebruik bij het bestuursorgaan) om te bepalen of het zinvol is om een Bibob-advies aan te vragen ten aanzien van de vergunninghouder of -aanvrager van een omgevingsvergunning voor milieuactiviteiten. </t>
  </si>
  <si>
    <t>Indicatorenlijst openbare inrichtingen</t>
  </si>
  <si>
    <t xml:space="preserve">De indicatorenlijst wordt gebruikt (voor intern gebruik bij het bestuursorgaan) om te bepalen of het zinvol is om een Bibob-advies aan te vragen ten aanzien van de vergunninghouder of -aanvrager van van een openbare inrichting. </t>
  </si>
  <si>
    <t>Indicatorenlijst subsidies</t>
  </si>
  <si>
    <t>De indicatorenlijst is een hulpmiddel om de integriteit van een subsidieaanvrager (of degene aan
wie subsidie is verstrekt) te beoordelen. De indicatorenlijst kan worden gebruikt in combinatie met
de indicatorenlijst voor openbare inrichtingen.
Aan de hand van de indicatorenlijst kan de behandelend ambtenaar een breed beeld krijgen van de
omstandigheden rondom een subsidieaanvraag of reeds verstrekte subsidie.</t>
  </si>
  <si>
    <t>Indicatorenlijst vastgoedtransacties</t>
  </si>
  <si>
    <t>De indicatorenlijst is een hulpmiddel om de integriteit van de betrokken partij te beoordelen. Door de afzonderlijke indicatoren te bekijken kan de behandelend ambtenaar een breed beeld krijgen van de omstandigheden rondom een de vastgoedtransactie.</t>
  </si>
  <si>
    <t>Indieningsadvies</t>
  </si>
  <si>
    <t>Het advies van alle betrokken partijen over de wijze en volgorde van aanvragen. Bijvoorbeeld door faseringen aan te brengen zodat op gevoelig liggende delen appart kan worden beslist.</t>
  </si>
  <si>
    <t>Informatieplicht</t>
  </si>
  <si>
    <t>Het document bevattende de ingediende informatieplicht.</t>
  </si>
  <si>
    <t>Instemming met opschorting</t>
  </si>
  <si>
    <t>Bericht van de aanvrager waarin hij schriftelijk instemt met opschorting van de beslistermijn, bijvoorbeeld omdat hij door het bevoegd gezag in de gelegenheid is gesteld de aanvraag aan te passen of (nogmaals) aan te vullen.</t>
  </si>
  <si>
    <t xml:space="preserve">10 - Aanvraag beschikking regulier behandelen  , 11 - Aanvraag beschikking uitgebreid behandelen  , 16 - Bezwaar behandelen  , 20 - Bezwaar behandelen zonder bezwaarcommissie , 21 - Verkennen en begeleiden initiatief </t>
  </si>
  <si>
    <t>Integraal advies</t>
  </si>
  <si>
    <t>Na afronding en de eventuele accordering door het bestuur van het integraal advies rondom het initatief wordt dit aan de initiatiefnemer overhandigd of verzonden.</t>
  </si>
  <si>
    <t>Invorderingsbeschikking</t>
  </si>
  <si>
    <t>Besluit  dat de sanctie uitgevoerd gaat worden.</t>
  </si>
  <si>
    <t>8 - Last onder dwangsom ten uitvoer leggen  </t>
  </si>
  <si>
    <t>Invorderingsbeschikking  </t>
  </si>
  <si>
    <t>Kennisgeving (ontwerp)besluit</t>
  </si>
  <si>
    <t>Kennisgeving</t>
  </si>
  <si>
    <t>Bericht waarin het bevoegd gezag kennis geeft (art. 3:12, lid 1 Algemene wet bestuursrecht) van het (ontwerp)besluit. In de kennisgeving wordt vermeld (art. 3:12, lid 3 Algemene wet bestuursrecht):
waar en wanneer de stukken ter inzage zullen liggen;
wie in de gelegenheid worden gesteld om zienswijzen naar voren te brengen;
op welke wijze dit kan geschieden;
indien toepassing is gegeven aan artikel 3:18, tweede lid: de termijn waarbinnen het besluit zal worden genomen.</t>
  </si>
  <si>
    <t>Kennisgeving bestuursdwang</t>
  </si>
  <si>
    <t>Bericht aan belanghebbenden (bijvoorbeeld de verzoeker om toepassing van bestuursdwang, art. 5:31a, lid 1 Algemene wet bestuursrecht) en (keten)partners over de controle op uitvoering van de last en de eventueel daarop gevolgde voorbereiding en toepassing van bestuursdwang.</t>
  </si>
  <si>
    <t>Kennisgeving Bibob-advies aan derden</t>
  </si>
  <si>
    <t>Bericht waarin het bevoegd gezag kennis geeft van het Bibob-advies aan derden</t>
  </si>
  <si>
    <t>Kennisgeving geen zienswijzen</t>
  </si>
  <si>
    <t>Bericht van het bevoegd gezag waarin het kennis geeft van het feit dat ten aanzien van een ter inzage gelegd Ontwerpbesluit géén zienswijzen zijn ontvangen (art. 3:18, lid 4 Algemene wet bestuursrecht).</t>
  </si>
  <si>
    <t>Kennisgeving melding</t>
  </si>
  <si>
    <t>Bericht waarin het bevoegd gezag kennis geeft van de ontvangst van een melding (o.a. art. 8.41, lid 4 Wet milieubeheer).</t>
  </si>
  <si>
    <t>Kennisgeving onderzoek Bibob aan betrokkene</t>
  </si>
  <si>
    <t>Bericht waarin het bevoegd gezag kennis geeft van het Bibob-advies aan betrokkene</t>
  </si>
  <si>
    <t>Kennisgeving toezichtbevindingen</t>
  </si>
  <si>
    <t>Bericht aan de belanghebbende bij (lees: het normadressaat van) een activiteit over de bevindingen van de controle. In het bericht wordt ten minste elke geconstateerde overtreding vermeld, voor elke overtreding een hersteltermijn gesteld en gewaarschuwd voor de - mogelijke - sanctie(s) als de overtreding na ommekomst van de hersteltermijn niet is beëindigd.</t>
  </si>
  <si>
    <t>4 - Controle uitvoeren  , 8 - Last onder dwangsom ten uitvoer leggen  </t>
  </si>
  <si>
    <t>Kostenverhaalbeschikking</t>
  </si>
  <si>
    <t>Bericht waarin de beschikking strekkende tot het verhaal van de met de voorbereiding en toepassing van bestuursdwang gemoeide kosten op de overtreder (art. 5:25 Algemene wet bestuursrecht) wordt bekendgemaakt.</t>
  </si>
  <si>
    <t xml:space="preserve">3 - Last onder bestuursdwang ten uitvoer leggen  
</t>
  </si>
  <si>
    <t>Beschikking kostenverhaal  </t>
  </si>
  <si>
    <t>Legesbeschikking</t>
  </si>
  <si>
    <t>Bericht waarin het bevoegd gezag mededeling doet van de hoogte van de verschuldigde leges voor de behandeling van de aanvraag (art. 104 Grondwet, art. 223 Provinciewet, art. 115 Waterschapswet, art. 229 Gemeentewet).</t>
  </si>
  <si>
    <t>Legesbeschikking  </t>
  </si>
  <si>
    <t>Machtiging tot binnentreden</t>
  </si>
  <si>
    <t>De machtiging tot binnentreden in een woning voor andere doeleinden dan strafvordering, afgegeven door de burgemeester van de gemeente waarin de woning gelegen is (art. 3, lid 2 Algemene wet op het binnentreden) of door het bestuursorgaan dat bestuursdwang toepast (art. 5:27, lid 2 Algemene wet bestuursrecht).</t>
  </si>
  <si>
    <t>3 - Last onder bestuursdwang ten uitvoer leggen  , 4 - Controle uitvoeren  </t>
  </si>
  <si>
    <t>Machtiging voor vertegenwoordiging</t>
  </si>
  <si>
    <t>Een verklaring waarin de verlener van de verklaring een in de verklaring benoemd persoon machtigt hem bij te staan of te vertegenwoordigen in het verkeer met bestuursorganen (art. 2:1, lid 1 Algemene wet bestuursrecht).</t>
  </si>
  <si>
    <t>13 - Beroep behandelen  , 14 - Voorlopige voorziening behandelen  , 16 - Bezwaar behandelen , 20 - Bezwaar behandelen zonder bezwaarcommissie  </t>
  </si>
  <si>
    <t>Mededeling afzien van handhaving</t>
  </si>
  <si>
    <t>De mededeling betreffende het afzien van verdere handhaving.</t>
  </si>
  <si>
    <t>Mededeling benutting herstelmogelijkheid</t>
  </si>
  <si>
    <t>Bericht van de zaakbehandelende organisatie waarin aan de rechtsprekende instantie wordt medegedeeld of gebruik wordt gemaakt van de geboden gelegenheid tot het (laten) herstellen van een gebrek in het bestreden besluit (art. 8:51b, lid 1 Algemene wet bestuursrecht).</t>
  </si>
  <si>
    <t>Mededeling besluit</t>
  </si>
  <si>
    <t>Bericht waarin het bevoegd gezag mededeling doet van het besluit aan degenen die bij de voorbereiding van het besluit hun zienswijze naar voren hebben gebracht of hebben geadviseerd (art. 3:43 Algemene wet bestuursrecht). </t>
  </si>
  <si>
    <t>10 - Aanvraag beschikking regulier behandelen  , 11 - Aanvraag beschikking uitgebreid behandelen  , 12 - Zienswijze behandelen  , 16 - Bezwaar behandelen  , 18 - Nadeelcompensatieverzoek behandelen , 20 - Bezwaar behandelen zonder bezwaarcommissie</t>
  </si>
  <si>
    <t>Mededeling hersteld besluit</t>
  </si>
  <si>
    <t>Bericht van de zaakbehandelende organisatie waarin aan de rechtsprekende instantie wordt medegedeeld op welke wijze het gebrek in het besluit is hersteld (art. 8:51b, lid 2 Algemene wet bestuursrecht).</t>
  </si>
  <si>
    <t>Mededeling opschorting / verdaging / uitstel beslissing op bezwaar</t>
  </si>
  <si>
    <t>bezwaar</t>
  </si>
  <si>
    <t>Mededeling van het bevoegd gezag aan belanghebbenden (art. 7:10, lid 5 Algemene wet bestuursrecht) dat (de termijn voor) het nemen van een beslissing op bezwaar is opgeschort (art. 7:10, lid 2 Algemene wet bestuursrecht), verdaagd (art. 7:10, lid 3 Algemene wet bestuursrecht) of uitgesteld (art. 7:10, lid 4 Algemene wet bestuursrecht). </t>
  </si>
  <si>
    <t>Mededeling van aanhouding</t>
  </si>
  <si>
    <t>Bericht waarin het bevoegd gezag aan de aanvrager meedeelt dat - en motiveert waarom - een beslissing op de aanvraag wordt aangehouden (art. 3.6 lid 1 Wet algemene bepalingen omgevingsrecht, resp. art. 16.60 Omgevingswet).</t>
  </si>
  <si>
    <t>Melding activiteit</t>
  </si>
  <si>
    <t>Het document bevattende de ingediende melding.</t>
  </si>
  <si>
    <t>Melding overgang bevoegdheid</t>
  </si>
  <si>
    <t>Bericht aan de andere overheidsorganisatie die (al dan niet coördinerend, zie Paragraaf 3.5.3 Algemene wet bestuursrecht) bevoegd gezag blijkt te zijn over de overdracht/doorzending van de ontvangen (aan)vraag, melding of het verzoek. </t>
  </si>
  <si>
    <t>2 - Advies verstrekken (informeel) / Vooroverleg voeren  , 6 - Handhavingsverzoek behandelen  , 7 - Incidentmelding behandelen  , 9 - Melding activiteit behandelen  , 10 - Aanvraag beschikking regulier behandelen  , 11 - Aanvraag beschikking uitgebreid behandelen  , 13 - Beroep behandelen  , 14 - Voorlopige voorziening behandelen  , 16 - Bezwaar behandelen  , 18 - Nadeelcompensatieverzoek behandelen, 20 - Bezwaar behandelen zonder bezwaarcommissie</t>
  </si>
  <si>
    <t>Meldingbevindingen</t>
  </si>
  <si>
    <t>Bericht waarin verslag wordt gedaan van het onderzoek naar het gemelde incident en waarin tevens is vermeld welke acties zijn of zullen worden ondernomen.</t>
  </si>
  <si>
    <t>Offerte</t>
  </si>
  <si>
    <t>Prijsopgave van een derde partij voor de producten of diensten die nodig (kunnen) zijn voor de uitvoering van een zaak van onderhavig zaaktype.</t>
  </si>
  <si>
    <t>Ontvangstbevestiging</t>
  </si>
  <si>
    <t>Het bericht waarmee de ontvangst van een document (informatieobject) wordt bevestigd aan de verzender van dat document (informatieobject). </t>
  </si>
  <si>
    <t>1 - Advies verstrekken  , 2 - Advies verstrekken (informeel) / Vooroverleg voeren  , 4 - Controle uitvoeren  , 6 - Handhavingsverzoek behandelen  , 7 - Incidentmelding behandelen  , 9 - Melding activiteit behandelen  , 10 - Aanvraag beschikking regulier behandelen  , 11 - Aanvraag beschikking uitgebreid behandelen  , 12 - Zienswijze behandelen  , 13 - Beroep behandelen  , 14 - Voorlopige voorziening behandelen  , 16 - Bezwaar behandelen  , 18 - Nadeelcompensatieverzoek behandelen , 20 - Bezwaar behandelen zonder bezwaarcommissie , 21 - Verkennen en begeleiden initiatief  , 22 - Informatieplicht verwerken</t>
  </si>
  <si>
    <t>Ontwerp/concept</t>
  </si>
  <si>
    <t xml:space="preserve">Door de initatiefnemer ingediende ontwerp/concept, dat de vorm van kans van slagen heeft als het in het vergunningstraject gaat. </t>
  </si>
  <si>
    <t>Ontwerpbesluit</t>
  </si>
  <si>
    <t>Het bericht waarin het bevoegd gezag het ontwerp van de te nemen beschikking / het besluit heeft vastgelegd.</t>
  </si>
  <si>
    <t>Ontwerpbesluit  </t>
  </si>
  <si>
    <t>Participatie-advies</t>
  </si>
  <si>
    <t>Het advies waarin het bevoegd gezag richting de initiatiefnemer aangeeft op welke wijze belanghebbende moeten worden betrokken en welke rol het bevoegd gezag inneemt tijdens de participatie.</t>
  </si>
  <si>
    <t>Participatieverslag</t>
  </si>
  <si>
    <t xml:space="preserve">Verslag van de wijze waarop participatie heeft plaatsgevonden met een weergave van wat daaruit is opgehaald. </t>
  </si>
  <si>
    <t>Plan van aanpak (handhavingsactie)</t>
  </si>
  <si>
    <t>Plan van aanpak</t>
  </si>
  <si>
    <t>Plan</t>
  </si>
  <si>
    <t>Plan van aanpak voor de uit te voeren handhavingsactie.</t>
  </si>
  <si>
    <t>Pleitnota</t>
  </si>
  <si>
    <t>De tijdens de zitting te gebruiken (beknopte) schriftelijke weergave van het pleidooi.</t>
  </si>
  <si>
    <t>13 - Beroep behandelen  , 14 - Voorlopige voorziening behandelen  , 14 - Voorlopige voorziening behandelen  , 16 - Bezwaar behandelen  </t>
  </si>
  <si>
    <t>Procedurebevestiging</t>
  </si>
  <si>
    <t>Mededeling waarin het bestuursorgaan dat het bevoegd gezag is, dit meedeelt aan de aanvrager. In de mededeling worden ook vermeld (art. 3.1 lid 3 Wet algemene bepalingen omgevingsrecht, resp. art. 16.54 lid 4 Omgevingswet):
de procedure - de reguliere of de uitgebreide procedure (uniforme openbare voorbereidingsprocedure, afdeling 3.4 Algemene wet bestuursrecht)) - die wordt gevolgd voor de voorbereiding van de beschikking;
de beslistermijn die van toepassing is;
de rechtsmiddelen om tegen de beschikking op te komen.</t>
  </si>
  <si>
    <t>Procesverantwoording</t>
  </si>
  <si>
    <t>Procesbeschrijving</t>
  </si>
  <si>
    <t>Document waarin de verantwoording van de procesgang is beschreven (logboek, audit trail).</t>
  </si>
  <si>
    <t>Proces-verbaal meevoeren en opslaan van zaken</t>
  </si>
  <si>
    <t>Proces-verbaal</t>
  </si>
  <si>
    <t>Proces-verbaal dat is opgesteld van het meevoeren en opslaan van zaken door de zaakbehandelende organisatie. Een afschrift van het proces-verbaal wordt verstrekt aan degene die de zaken onder zijn beheer had (art. 5:29, lid 2 Algemene wet bestuursrecht).</t>
  </si>
  <si>
    <t>Programma van eisen en wensen</t>
  </si>
  <si>
    <t>Programma</t>
  </si>
  <si>
    <t>Het bevoegd gezag en ketenpartners vatten hierin samen op welke wijze participatie plaats moet vinden en welk toetsingskader van toepassing is, welke harde grenswaarden er zijn en waar nog bandbreedtes zijn om het plan te optimaliseren</t>
  </si>
  <si>
    <t>Reactie op verweerschrift (repliek)</t>
  </si>
  <si>
    <t>Een reactie (repliek) van de eiser, ontvangen via de rechtsprekende instantie, op het verweerschrift dat is opgesteld door de zaakbehandelende organisatie, met het verzoek van de rechtsprekende instantie om reactie cq. een aanvulling op het verweerschrift (dupliek).</t>
  </si>
  <si>
    <t>Reactie op voornemen</t>
  </si>
  <si>
    <t xml:space="preserve">Een reactie van de vergunninghouder op het ambtshalve voornemen. </t>
  </si>
  <si>
    <t>Statusmelding</t>
  </si>
  <si>
    <t>Het - bij voorkeur digitale - bericht aan de indiener van het verzoek dat een nieuwe status in de behandeling van de zaak bereikt is.</t>
  </si>
  <si>
    <t>Te beoordelen document(en)</t>
  </si>
  <si>
    <t>De documenten waarop de adviesaanvraag betrekking heeft.</t>
  </si>
  <si>
    <t>Tussenuitspraak</t>
  </si>
  <si>
    <t>Tussenuitspraak (art. 8:80a, lid 1 Algemene wet bestuursrecht) van de rechtsprekende instantie waarin aan de zaakbehandelende organisatie de gelegenheid wordt geboden een gebrek in het bestreden besluit te (laten) herstellen (art. 8:51a, lid 1 Algemene wet bestuursrecht).</t>
  </si>
  <si>
    <t>Uitnodiging deelname omgevingstafel</t>
  </si>
  <si>
    <t>Uitnodiging</t>
  </si>
  <si>
    <t xml:space="preserve">Bericht aan de initiatiefnemer, ketenpartners en de belanghebbenden waarin zij worden uitgenodigd om aan de Omgevingstafel deel te nemen. </t>
  </si>
  <si>
    <t>Uitnodiging horen</t>
  </si>
  <si>
    <t>Bericht aan degene die op een in het bericht genoemde wijze in de gelegenheid wordt gesteld mondeling te reageren (bijvoorbeeld door het mondeling naar voren brengen van een zienswijze - art. 4:9 Algemene wet bestuursrecht - of het toelichten van een bezwaarschrift - art. 7:2 Algemene wet bestuursrecht -) op een (voorgenomen) besluit.</t>
  </si>
  <si>
    <t>12 - Zienswijze behandelen  , 16 - Bezwaar behandelen , 20 - Bezwaar behandelen zonder bezwaarcommissie</t>
  </si>
  <si>
    <t>Uitnodiging tot geven zienswijze</t>
  </si>
  <si>
    <t>Bericht waarin het bevoegd gezag de aanvrager en/of een belanghebbende in de gelegenheid stelt een zienswijze naar voren te brengen ten aanzien van de voorgenomen beschikking (art. 4:7 Algemene wet bestuursrecht en art. 4:8 Algemene wet bestuursrecht) of ten aanzien van ingediende zienswijzen naar aanleiding van de terinzagelegging van het Ontwerpbesluit (art. 3:15, lid 3 en lid 4 Algemene wet bestuursrecht).</t>
  </si>
  <si>
    <t>6 - Handhavingsverzoek behandelen  , 10 - Aanvraag beschikking regulier behandelen  , 11 - Aanvraag beschikking uitgebreid behandelen  </t>
  </si>
  <si>
    <t>Uitnodiging tot participatie</t>
  </si>
  <si>
    <t>Uitnodiging tot deelnamen van participatie.</t>
  </si>
  <si>
    <t>Uitnodiging zitting</t>
  </si>
  <si>
    <t>Uitnodiging tot deelname van een zitting.</t>
  </si>
  <si>
    <t>13 - Beroep behandelen  , 14 - Voorlopige voorziening behandelen  </t>
  </si>
  <si>
    <t>Uitspraak op beroep</t>
  </si>
  <si>
    <t>De uitspraak van de rechtsprekende instantie inzake het ingestelde beroep (Afdeling 8.2.6 Algemene wet bestuursrecht). De uitspraak kan een nieuw besluit omvatten dat in de plaats treedt van het bestreden besluit (art. 8:72, lid 3, onder b Algemene wet bestuursrecht).</t>
  </si>
  <si>
    <t>Verkenningsadvies</t>
  </si>
  <si>
    <t>Het advies waarin het bevoegd gezag richting de initiatiefnemer aangeeft welk toetsingkader van toepassing is, welke harde grenswaarden er zijn en waar er nog bandbreedtes zijn voor de initiatiefnemer om zijn plan verder uit te werken.</t>
  </si>
  <si>
    <t>Verlenging termijn opstellen verweerschrift</t>
  </si>
  <si>
    <t>De mededeling van de rechtsprekende instantie in reactie op het verzoek om verlenging van de termijn voor het indienen van het verweerschrift over het al dan niet verlengen van genoemde termijn.</t>
  </si>
  <si>
    <t>Verslag horen</t>
  </si>
  <si>
    <t>Verslag van het mondeling horen van belanghebbenden (of anderen) met betrekking tot een voorgenomen (in een zaak van het zaaktype 'Zienswijze behandelen') of bestreden (in een zaak van het zaaktype 'Bezwaar behandelen') besluit.</t>
  </si>
  <si>
    <t>11 - Aanvraag beschikking uitgebreid behandelen  , 12 - Zienswijze behandelen  , 16 - Bezwaar behandelen , 20 - Bezwaar behandelen zonder bezwaarcommissie</t>
  </si>
  <si>
    <t>Verslag omtrent het binnentreden</t>
  </si>
  <si>
    <t>Verslag over het binnentreden van een woning zonder toestemming van de bewoner, opgesteld door degene die is gemachtigd de woning binnen te treden (art. 10, lid 1 Algemene wet op het binnentreden). Het verslag wordt uiterlijk op de vierde dag na de dag waarop in de woning is binnengetreden toegezonden aan degene die de machtiging heeft gegeven (art. 11, lid 1 Algemene wet op het binnentreden). Een afschrift van het verslag wordt uiterlijk op de vierde dag na de dag waarop de woning is binnengetreden uitgereikt of toegezonden aan de bewoner (art. 11, lid 2 Algemene wet op het binnentreden).</t>
  </si>
  <si>
    <t>3 - Last onder bestuursdwang ten uitvoer leggen  , 3 - Last onder bestuursdwang ten uitvoer leggen  , 4 - Controle uitvoeren  , 4 - Controle uitvoeren  </t>
  </si>
  <si>
    <t>Verslag onderzoek</t>
  </si>
  <si>
    <t>Verslag van het onderzoek dat is ingesteld door een deskundige (bijvoorbeeld: de Stichting Advisering Bestuursrechtspraak voor Milieu en Ruimtelijke Ordening (StAB)) op verzoek van de rechtsprekende instantie (art 8:47, lid 1 juncto art 8:47, lid 4 Algemene wet bestuursrecht). </t>
  </si>
  <si>
    <t>Verslag overleg</t>
  </si>
  <si>
    <t>Gespreksverslag</t>
  </si>
  <si>
    <t>Het verslag van het gevoerde overleg cq. van de gevoerde overleggen. </t>
  </si>
  <si>
    <t>Verslag toepassing bestuursdwang</t>
  </si>
  <si>
    <t>Verslag van de toepassing van bestuursdwang, inclusief eventuele bewijsstukken (foto's, verklaringen, et cetera).</t>
  </si>
  <si>
    <t>Verweerschrift</t>
  </si>
  <si>
    <t>De reactie op het beroepschrift  met de verdediging tegen het beroep cq. de rechtvaardiging van het besluit waartegen het beroep gericht is.</t>
  </si>
  <si>
    <t>13 - Beroep behandelen  , 14 - Voorlopige voorziening behandelen  , 16 - Bezwaar behandelen  </t>
  </si>
  <si>
    <t>Verzoek aanvullende stukken</t>
  </si>
  <si>
    <t>Het van de Rechtbank of Raad van State ontvangen verzoek tot toezending van aanvullende stukken.</t>
  </si>
  <si>
    <t>Verzoek nadeelcompensatie</t>
  </si>
  <si>
    <t>Het verzoek van de indiener tot compensatie; een (gedeeltelijke) waarbij de zaakbehandelende organisatie verplicht gesteld kan wordenom in bepaalde gevallen en onder bepaalde voorwaarden onevenredige schade van een rechtmatig besluit te vergoeden; schade die veroorzaakt wordt door de zaakbehandelende organisatie bij de uitvoering van haar taken.</t>
  </si>
  <si>
    <t>Verzoek om aanpassing aanvraag</t>
  </si>
  <si>
    <t>Bericht van het bevoegd gezag waarin het de aanvrager verzoekt om de aanvraag aan te passen, zodat een positieve toetsing mogelijk wordt.</t>
  </si>
  <si>
    <t>Verzoek om aanpassing initiatief</t>
  </si>
  <si>
    <t>Bericht van bevoegd gezag waarin het de initiatiefnemer verzoekt om het initiatief aan te passen.</t>
  </si>
  <si>
    <t>Verzoek om aanvullende informatie</t>
  </si>
  <si>
    <t>Het verzoek om aanvullende informatie te verstrekken om de te beoordelen documenten volledig te kunnen verklaren.</t>
  </si>
  <si>
    <t>2 - Advies verstrekken (informeel) / Vooroverleg voeren  , 6 - Handhavingsverzoek behandelen  , 9 - Melding activiteit behandelen  , 10 - Aanvraag beschikking regulier behandelen  , 11 - Aanvraag beschikking uitgebreid behandelen  , 12 - Zienswijze behandelen  , 19 - Bibob-onderzoek uitvoeren , 21 - Verkennen en begeleiden initiatief</t>
  </si>
  <si>
    <t>Verzoek om controle</t>
  </si>
  <si>
    <t>Intern</t>
  </si>
  <si>
    <t>Het verzoek of de opdracht voor het initiëren van een zaak van het zaaktype 'Controle uitvoeren'.</t>
  </si>
  <si>
    <t>Verzoek om invordering</t>
  </si>
  <si>
    <t>Verzoek van een belanghebbende om invordering van een verbeurde dwangsom (art. 5:37, lid 2 Algemene wet bestuursrecht).</t>
  </si>
  <si>
    <t>Verzoek om voorlopige voorziening</t>
  </si>
  <si>
    <t>De via het bevoegd gezag ontvangen kopie van het verzoek om een voorlopige voorziening, zoals ingediend bij de Rechtbank of de Raad van State.</t>
  </si>
  <si>
    <t>Verzoek tot wijziging last onder dwangsom</t>
  </si>
  <si>
    <t>Het verzoek van de overtreder aan wie een last onder dwangsom is opgelegd, tot opschorting, vermindering of opheffing van de last onder dwangsom (op grond van art. 5:34 Algemene wet bestuursrecht). </t>
  </si>
  <si>
    <t>Verzoek verkennen begeleiden initiatief</t>
  </si>
  <si>
    <t>Het bericht waarin een belanghebbende het bevoegd gezag verzoekt om een initiatief van de belanghebbende te verkennen en begeleiden.</t>
  </si>
  <si>
    <t>Verzoek verlenging termijn opstellen verweerschrift</t>
  </si>
  <si>
    <t>Het verzoek aan de rechtsprekende instantie om verlenging van de termijn voor het indienen van het verweerschrift (art. 8:42, lid 1, juncto 8:42, lid 2 Algemene wet bestuursrecht).</t>
  </si>
  <si>
    <t>Verzoek vooroverleg</t>
  </si>
  <si>
    <t>Het voerzoek om vooroverleg van de initiatiefnemer om over een (complex) verzoek te spreken, voordat het verzoek formeel is ingediend.</t>
  </si>
  <si>
    <t>2 - Advies verstrekken (informeel) / Vooroverleg voeren</t>
  </si>
  <si>
    <t>Voornemen ambtshalve beschikken</t>
  </si>
  <si>
    <t>Bericht dat kenbaar maakt aan de vergunninghouder dat ambshalve een procedure wordt gestart om een beschikking te wijzigen of in te trekken.</t>
  </si>
  <si>
    <t>17 - Ambsthalve beschikken</t>
  </si>
  <si>
    <t>Voornemen benoemen deskundige</t>
  </si>
  <si>
    <t>Bericht van de rechtsprekende instantie waarin mededeling wordt gedaan van het voornemen een deskundige te benoemen voor het instellen van een onderzoek (art 8:47, lid 3 juncto art 8:47, lid 1 Algemene wet bestuursrecht).</t>
  </si>
  <si>
    <t>Voornemen invorderingsbeschikking</t>
  </si>
  <si>
    <t>Aankondiging van het voornemen tot het invorderen van de verbeurde dwangsommen aan de overtreder.</t>
  </si>
  <si>
    <t>8 - Last onder dwangsom ten uitvoer leggen</t>
  </si>
  <si>
    <t>Voornemen kostenverhaalbeschikking</t>
  </si>
  <si>
    <t>Aankondiging van het voornemen tot het verhalen van de gemaakte kosten aan de overtreder.</t>
  </si>
  <si>
    <t>3 - Last onder bestuursdwang ten uitvoer leggen</t>
  </si>
  <si>
    <t>Vragenformulier overheidsopdrachten</t>
  </si>
  <si>
    <t xml:space="preserve">Vragenformulier overheidsopdrachten
</t>
  </si>
  <si>
    <t>Op basis van dit formulier kunnen bestuursorganen een beoordeling op grond van de Wet Bibob uit (laten) voeren. De vragenlijst wordt door de gegadigden voor overheidsopdrachten ingevuld. Gegadigden, (rechts)personen aan wie een overheidsopdracht is of zal worden gegund, en onderaannemers moeten ieder een apart exemplaar van dit vragenformulier invullen.</t>
  </si>
  <si>
    <t>Vragenformulier overige beschikkingen</t>
  </si>
  <si>
    <t>Op basis van dit formulier kunnen bestuursorganen een beoordeling op grond van de Wet Bibob uit (laten) voeren. Aanvragers van een beschikking moeten een exemplaar van dit vragenformulier invullen.</t>
  </si>
  <si>
    <t>Vragenformulier subsidiebeschikkingen</t>
  </si>
  <si>
    <t>Op basis van dit formulier kunnen bestuursorganen een beoordeling op grond van de Wet Bibob uit (laten) voeren. Aanvragers van een subsidie moeten een exemplaar van dit vragenformulier invullen.</t>
  </si>
  <si>
    <t>Vragenformulier vastgoedtransacties</t>
  </si>
  <si>
    <t>Op basis van dit formulier kunnen bestuursorganen een beoordeling op grond van de Wet Bibob uit (laten) voeren.
Dit Bibob-vragenformulier gaat over vastgoedtransacties zoals bedoeld in artikel 1, eerste lid, onder o, van de Wet Bibob.
Degenen met wie de vastgoedtransactie (beoogd) zal worden aangegaan moeten een exemplaar van dit formulier in vullen.</t>
  </si>
  <si>
    <t>Vragenformulier vergunningen</t>
  </si>
  <si>
    <t>Op basis van dit formulier kunnen bestuursorganen een beoordeling op grond van de Wet Bibob uit (laten) voeren. Aanvragers van een Omgevingsvergunning, activiteit bouw moeten een exemplaar van dit vragenformulier invullen.</t>
  </si>
  <si>
    <t>Wensen onderzoek</t>
  </si>
  <si>
    <t>Bericht aan de rechtsprekende instantie waarin wensen zijn neergelegd ten aanzien van het onderzoek dat de rechtsprekende instantie door een deskundige wil laten uitvoeren (art. 8:47, lid 3, junctie art 8:47 lid 1 Algemene wet bestuursrecht).</t>
  </si>
  <si>
    <t>WKPB- in- of uitschrijving</t>
  </si>
  <si>
    <t>Bericht aan het Kadaster met het verzoek om een registratie van een publiekrechtelijke beperking in het register toe te voegen of te verwijderen.</t>
  </si>
  <si>
    <t>3 - Last onder bestuursdwang ten uitvoer leggen  , 8 - Last onder dwangsom ten uitvoer leggen  </t>
  </si>
  <si>
    <t>Zienswijze</t>
  </si>
  <si>
    <t>Bericht waarin een belanghebbende zijn mening geeft over het ontwerp van / voornemen tot een besluit van het bevoegd gezag.</t>
  </si>
  <si>
    <t>5 - Handhavingsbesluit nemen  , 6 - Handhavingsverzoek behandelen  , 10 - Aanvraag beschikking regulier behandelen  , 11 - Aanvraag beschikking uitgebreid behandelen  , 12 - Zienswijze behandelen  , 13 - Beroep behandelen  , 13 - Beroep behandelen  </t>
  </si>
  <si>
    <t>Zienswijzeadvies</t>
  </si>
  <si>
    <t>Advies over de belangenafweging en motivatie van een te nemen besluit naar aanleiding van een naar voren gebrachte zienswijze op een voorgenomen beslissing.</t>
  </si>
  <si>
    <t>11 - Aanvraag beschikking uitgebreid behandelen  , 12 - Zienswijze behandelen  </t>
  </si>
  <si>
    <t>Zienswijzereactie</t>
  </si>
  <si>
    <t>Separate reactie waarin de zaakbehandelende organisatie de naar voren gebrachte zienswijze - al dan niet gebundeld - heeft beantwoord. De reactie wordt intern op- en vastgesteld en wordt als bijlage bij het besluit gevoegd.</t>
  </si>
  <si>
    <t>10 - Aanvraag beschikking regulier behandelen </t>
  </si>
  <si>
    <t>BESLUITTYPE</t>
  </si>
  <si>
    <t>REACTIE TERMIJN</t>
  </si>
  <si>
    <t>PUBLICATIE-INDICATIE</t>
  </si>
  <si>
    <t>PUBLICATIE TEKST</t>
  </si>
  <si>
    <t>DUUR PUBLICATIE</t>
  </si>
  <si>
    <t xml:space="preserve">VASTGELEGD IN INFORMATIE- OBJECTTYPE </t>
  </si>
  <si>
    <t>AWB procedure</t>
  </si>
  <si>
    <t>Nee</t>
  </si>
  <si>
    <t>Beschikking tot aanhouding van de beslissing op grond van een eigenstandige bevoegdheid van het bevoegd gezag (bijv. op grond van art. 3.4, lid 1 Wet algemene bepalingen omgevingsrecht).
Let op: er wordt geen beschikking genomen bij aanhouding van rechtswege (lees: het bevoegd gezag is op grond van regelgeving verplicht de beslissing aan te houden, bijvoorbeeld op grond van art. 3.3 Wet algemene bepalingen omgevingsrecht, resp. art. 16.58 Omgevingswet of art. 3.5 Wet algemene bepalingen omgevingsrecht, resp. art. 16.59 Omgevingswet). In die situaties wordt dit besluittype dus niet toegepast.</t>
  </si>
  <si>
    <t xml:space="preserve">Beschikking aanhouding beslissing </t>
  </si>
  <si>
    <t>10 - Aanvraag beschikking regulier behandelen, 11 - Aanvraag beschikking uitgebreid behandelen</t>
  </si>
  <si>
    <t>Vergunning</t>
  </si>
  <si>
    <t>Ja</t>
  </si>
  <si>
    <t>Het besluit op de ambtshalve vergunning.</t>
  </si>
  <si>
    <t>Besluit buiten behandeling stellen</t>
  </si>
  <si>
    <t>Beschikking tot het buiten behandeling laten van de aanvraag (art. 4:5 Algemene wet bestuursrecht).</t>
  </si>
  <si>
    <t>6 - Handhavingsverzoek behandelen, 10 - Aanvraag beschikking regulier behandelen, 11 - Aanvraag beschikking uitgebreid behandelen</t>
  </si>
  <si>
    <t>Beschikking kostenverhaal</t>
  </si>
  <si>
    <t>Heffen en innen</t>
  </si>
  <si>
    <t>Beschikking strekkende tot het verhaal van de met de voorbereiding en toepassing van bestuursdwang gemoeide kosten op de overtreder (art. 5:25 Algemene wet bestuursrecht).</t>
  </si>
  <si>
    <t xml:space="preserve">Beschikking kostenverhaal  </t>
  </si>
  <si>
    <t xml:space="preserve">3 - Last onder bestuursdwang ten uitvoer leggen  </t>
  </si>
  <si>
    <t>Rechtsbescherming</t>
  </si>
  <si>
    <t xml:space="preserve">Conform de Algemene Wet Bestuursrecht neemt een overheidsorgaan een formele beslissing op een verzoek nadeelcompensatie. </t>
  </si>
  <si>
    <t>18 - Verzoek nadeelcompensatie</t>
  </si>
  <si>
    <t xml:space="preserve">	Ja</t>
  </si>
  <si>
    <t>Het besluit op de vergunningaanvraag.</t>
  </si>
  <si>
    <t xml:space="preserve">Beschikking op aanvraag  </t>
  </si>
  <si>
    <t>Handhaving</t>
  </si>
  <si>
    <t>De beschikking op het verzoek tot handhaving. Deze kan zowel positief als negatief zijn.</t>
  </si>
  <si>
    <t>De beschikking (zie bijvoorbeeld art. 3.9, lid 2 Wet algemene bepalingen omgevingsrecht, resp. art. 16.64, lid 2 Omgevingswet) dat voor het beschikken in een zaak (op aanvraag of ambtshalve) een langere beslistermijn nodig is dan de wettelijke termijn.</t>
  </si>
  <si>
    <t>Besluit tot intrekking last onder dwangsom</t>
  </si>
  <si>
    <t>Besluit strekkende tot opheffing of opschorting van de last, of vermindering van de dwangsom op verzoek van de overtreder aan wie een last onder dwangsom is opgelegd (op grond van art. 5:34 Algemene wet bestuursrecht).</t>
  </si>
  <si>
    <t>Conform de Algemene Wet Bestuursrecht neemt een overheidsorgaan een formele beslissing op een bezwaar. Dit kan door het Dagelijks bestuur of een beslissingsbevoegde die het mandaat verkregen heeft.</t>
  </si>
  <si>
    <t>Besluit strekkende tot het opleggen, wijzigen of opheffen van een bestuurlijke sanctie.</t>
  </si>
  <si>
    <t>Invorderingsbesluit</t>
  </si>
  <si>
    <t>Beschikking strekkende tot invordering van (een) verbeurde dwangsom(men).</t>
  </si>
  <si>
    <t>Beschikking strekkende tot betaling van leges over de aanvraag vergunning.</t>
  </si>
  <si>
    <t>2 - Advies verstrekken (informeel) / Vooroverleg voeren  , 10 - Aanvraag beschikking regulier behandelen  , 11 - Aanvraag beschikking uitgebreid behandelen</t>
  </si>
  <si>
    <t>Het voorlopige besluit op de vergunningaanvraag dat ter inzage wordt gelegd voor het desgewenst indienen van zienswijzen.</t>
  </si>
  <si>
    <t xml:space="preserve">Verdagingsbesluit </t>
  </si>
  <si>
    <t>Verdagingsbesluit</t>
  </si>
  <si>
    <t>Het besluit cq. de beschikking waarin de termijn voor het behandelen van het bezwaar verlengd wordt.</t>
  </si>
  <si>
    <t>1.9</t>
  </si>
  <si>
    <t>Bericht waarin de beschikking op aanvraag wordt bekendgemaakt (conform art. 3:41 Algemene wet bestuursrecht).</t>
  </si>
  <si>
    <t xml:space="preserve">2 - Advies verstrekken (informeel) / Vooroverleg voeren  , 9 - Melding activiteit behandelen , 10 - Aanvraag beschikking regulier behandelen  , 11 - Aanvraag beschikking uitgebreid behandelen  , 21 - Verkennen en begeleiden initiatief
</t>
  </si>
  <si>
    <t>1 Advies verstrekken, 2 Advies verstrekken (informeel) / Vooroverleg voeren, 3 Last onder bestuursdwang ten uitvoer leggen, 4 Controle uitvoeren, 5 Handhavingsbesluit nemen, 6 Handhavingsverzoek behandelen, 7 Incidentmelding behandelen, 8 Last onder dwangsom ten uitvoer leggen, 9 Melding activiteit behandelen, 10 Aanvraag beschikking regulier behandelen, 11 Aanvraag beschikking uitgebreid behandelen, 12 Zienswijze behandelen, 13 Beroep behandelen, 14 Voorlopige voorziening behandelen, 16 Bezwaar behandelen, 17 Ambtshalve beschikken, 18  Nadeelcompensatieverzoek behandelen, 19 Bibob-onderzoek uitvoeren, 20 Bezwaar behandelen zonder bezwaarcommissie, 21 Verkennen en begeleiden initiatief, 22 Informatieplicht verwerken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</si>
</sst>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sz val="11"/>
      <color theme="1"/>
      <name val="Arial"/>
      <family val="2"/>
    </font>
    <font>
      <b/>
      <sz val="11"/>
      <color theme="1"/>
      <name val="Arial"/>
      <family val="2"/>
    </font>
    <font>
      <b/>
      <sz val="10"/>
      <color theme="1"/>
      <name val="Arial"/>
      <family val="2"/>
    </font>
    <font>
      <sz val="11"/>
      <name val="Arial"/>
      <family val="2"/>
    </font>
    <font>
      <b/>
      <sz val="10"/>
      <color rgb="FF000000"/>
      <name val="Arial"/>
      <family val="2"/>
    </font>
    <font>
      <b/>
      <sz val="11"/>
      <color theme="1"/>
      <name val="Liberation Sans"/>
      <family val="2"/>
    </font>
    <font>
      <strike/>
      <sz val="10"/>
      <color rgb="FF000000"/>
      <name val="Arial"/>
      <family val="2"/>
    </font>
    <font>
      <sz val="10"/>
      <color rgb="FF000000"/>
      <name val="Arial"/>
    </font>
    <font>
      <b/>
      <sz val="11"/>
      <color rgb="FF000000"/>
      <name val="Arial"/>
      <family val="2"/>
    </font>
    <font>
      <sz val="10"/>
      <color rgb="FF000000"/>
      <name val="Arial"/>
      <family val="2"/>
    </font>
    <font>
      <b/>
      <sz val="11"/>
      <color rgb="FF000000"/>
      <name val="Liberation Sans"/>
      <family val="2"/>
    </font>
    <font>
      <sz val="11"/>
      <color rgb="FF000000"/>
      <name val="Arial"/>
      <family val="2"/>
    </font>
    <font>
      <sz val="11"/>
      <color rgb="FF000000"/>
      <name val="Liberation Sans"/>
      <family val="2"/>
    </font>
    <font>
      <sz val="10"/>
      <color theme="1"/>
      <name val="Arial"/>
    </font>
    <font>
      <sz val="10"/>
      <name val="Arial"/>
      <family val="2"/>
    </font>
    <font>
      <b/>
      <sz val="11"/>
      <name val="Arial"/>
      <family val="2"/>
    </font>
    <font>
      <b/>
      <sz val="11"/>
      <name val="Liberation Sans"/>
      <family val="2"/>
    </font>
    <font>
      <b/>
      <sz val="10"/>
      <name val="Arial"/>
      <family val="2"/>
    </font>
    <font>
      <sz val="10"/>
      <name val="Calibri Light"/>
      <family val="2"/>
    </font>
    <font>
      <sz val="11"/>
      <name val="Calibri Light"/>
      <family val="2"/>
    </font>
    <font>
      <sz val="11"/>
      <name val="Liberation Sans"/>
      <family val="2"/>
    </font>
    <font>
      <sz val="10"/>
      <name val="Arial"/>
      <family val="2"/>
      <charset val="1"/>
    </font>
    <font>
      <sz val="11"/>
      <name val="Calibri"/>
      <family val="2"/>
      <charset val="1"/>
    </font>
    <font>
      <sz val="10"/>
      <color rgb="FFFF0000"/>
      <name val="Arial"/>
    </font>
    <font>
      <sz val="10"/>
      <name val="Arial"/>
    </font>
    <font>
      <sz val="10"/>
      <color rgb="FFFF0000"/>
      <name val="Calibri Light"/>
      <family val="2"/>
    </font>
    <font>
      <sz val="11"/>
      <color rgb="FF000000"/>
      <name val="Calibri Light"/>
      <family val="2"/>
    </font>
    <font>
      <sz val="10"/>
      <color rgb="FF000000"/>
      <name val="Calibri Light"/>
      <family val="2"/>
    </font>
    <font>
      <sz val="10"/>
      <color rgb="FF000000"/>
      <name val="Calibri Light"/>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0">
    <border>
      <left/>
      <right/>
      <top/>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000000"/>
      </right>
      <top style="medium">
        <color rgb="FF000000"/>
      </top>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93">
    <xf numFmtId="0" fontId="0" fillId="0" borderId="0" xfId="0"/>
    <xf numFmtId="0" fontId="26" fillId="0" borderId="0" xfId="0" applyFont="1" applyAlignment="1">
      <alignment vertical="center"/>
    </xf>
    <xf numFmtId="0" fontId="28" fillId="0" borderId="0" xfId="0" applyFont="1" applyAlignment="1">
      <alignment vertical="center"/>
    </xf>
    <xf numFmtId="0" fontId="28" fillId="0" borderId="0" xfId="0" applyFont="1" applyAlignment="1">
      <alignment horizontal="left" vertical="center"/>
    </xf>
    <xf numFmtId="14" fontId="27" fillId="0" borderId="0" xfId="0" applyNumberFormat="1" applyFont="1" applyAlignment="1">
      <alignment vertical="center" wrapText="1"/>
    </xf>
    <xf numFmtId="0" fontId="27" fillId="0" borderId="0" xfId="0" applyFont="1" applyAlignment="1">
      <alignment vertical="center" wrapText="1"/>
    </xf>
    <xf numFmtId="0" fontId="24" fillId="0" borderId="0" xfId="0" applyFont="1" applyAlignment="1">
      <alignment horizontal="left" vertical="top"/>
    </xf>
    <xf numFmtId="0" fontId="24" fillId="0" borderId="0" xfId="0" applyFont="1"/>
    <xf numFmtId="0" fontId="20" fillId="0" borderId="6" xfId="0" applyFont="1" applyBorder="1" applyAlignment="1">
      <alignment horizontal="left" vertical="top" wrapText="1"/>
    </xf>
    <xf numFmtId="0" fontId="20" fillId="0" borderId="2" xfId="0" applyFont="1" applyBorder="1" applyAlignment="1">
      <alignment horizontal="left" vertical="top" wrapText="1"/>
    </xf>
    <xf numFmtId="0" fontId="20" fillId="0" borderId="0" xfId="0" applyFont="1" applyAlignment="1">
      <alignment horizontal="left" vertical="top"/>
    </xf>
    <xf numFmtId="0" fontId="25" fillId="0" borderId="2" xfId="0" applyFont="1" applyBorder="1" applyAlignment="1">
      <alignment horizontal="left" vertical="top" wrapText="1"/>
    </xf>
    <xf numFmtId="0" fontId="23" fillId="0" borderId="2" xfId="0" applyFont="1" applyBorder="1" applyAlignment="1">
      <alignment horizontal="left" vertical="top" wrapText="1"/>
    </xf>
    <xf numFmtId="0" fontId="22" fillId="0" borderId="2" xfId="0" applyFont="1" applyBorder="1" applyAlignment="1">
      <alignment horizontal="left" vertical="top" wrapText="1"/>
    </xf>
    <xf numFmtId="0" fontId="25" fillId="0" borderId="0" xfId="0" applyFont="1" applyAlignment="1">
      <alignment horizontal="left" vertical="top"/>
    </xf>
    <xf numFmtId="0" fontId="25" fillId="0" borderId="0" xfId="0" applyFont="1"/>
    <xf numFmtId="0" fontId="25" fillId="0" borderId="2" xfId="0" applyFont="1" applyBorder="1" applyAlignment="1">
      <alignment vertical="top" wrapText="1"/>
    </xf>
    <xf numFmtId="0" fontId="23" fillId="0" borderId="2" xfId="0" applyFont="1" applyBorder="1" applyAlignment="1">
      <alignment vertical="top" wrapText="1"/>
    </xf>
    <xf numFmtId="0" fontId="25" fillId="0" borderId="3" xfId="0" applyFont="1" applyBorder="1" applyAlignment="1">
      <alignment horizontal="left" vertical="top" wrapText="1"/>
    </xf>
    <xf numFmtId="0" fontId="25" fillId="0" borderId="4" xfId="0" applyFont="1" applyBorder="1" applyAlignment="1">
      <alignment horizontal="left" vertical="top" wrapText="1"/>
    </xf>
    <xf numFmtId="0" fontId="25" fillId="0" borderId="5" xfId="0" applyFont="1" applyBorder="1" applyAlignment="1">
      <alignment horizontal="left" vertical="top" wrapText="1"/>
    </xf>
    <xf numFmtId="0" fontId="25" fillId="0" borderId="10" xfId="0" applyFont="1" applyBorder="1" applyAlignment="1">
      <alignment horizontal="left" vertical="top" wrapText="1"/>
    </xf>
    <xf numFmtId="0" fontId="25" fillId="0" borderId="11" xfId="0" applyFont="1" applyBorder="1" applyAlignment="1">
      <alignment horizontal="left" vertical="top" wrapText="1"/>
    </xf>
    <xf numFmtId="0" fontId="25" fillId="0" borderId="12" xfId="0" applyFont="1" applyBorder="1" applyAlignment="1">
      <alignment horizontal="left" vertical="top" wrapText="1"/>
    </xf>
    <xf numFmtId="0" fontId="25" fillId="0" borderId="13" xfId="0" applyFont="1" applyBorder="1" applyAlignment="1">
      <alignment horizontal="left" vertical="top" wrapText="1"/>
    </xf>
    <xf numFmtId="0" fontId="25" fillId="0" borderId="14" xfId="0" applyFont="1" applyBorder="1" applyAlignment="1">
      <alignment horizontal="left" vertical="top" wrapText="1"/>
    </xf>
    <xf numFmtId="0" fontId="22" fillId="0" borderId="5" xfId="0" applyFont="1" applyBorder="1" applyAlignment="1">
      <alignment horizontal="left" vertical="top" wrapText="1"/>
    </xf>
    <xf numFmtId="0" fontId="22" fillId="0" borderId="0" xfId="0" applyFont="1" applyAlignment="1">
      <alignment horizontal="left" vertical="top"/>
    </xf>
    <xf numFmtId="0" fontId="22" fillId="0" borderId="0" xfId="0" applyFont="1"/>
    <xf numFmtId="0" fontId="29" fillId="0" borderId="5" xfId="0" applyFont="1" applyBorder="1" applyAlignment="1">
      <alignment horizontal="left" vertical="top" wrapText="1"/>
    </xf>
    <xf numFmtId="0" fontId="15" fillId="0" borderId="5" xfId="0" applyFont="1" applyBorder="1" applyAlignment="1">
      <alignment horizontal="left" vertical="top" wrapText="1"/>
    </xf>
    <xf numFmtId="0" fontId="16" fillId="0" borderId="0" xfId="0" applyFont="1" applyAlignment="1">
      <alignment horizontal="left" vertical="top"/>
    </xf>
    <xf numFmtId="0" fontId="18" fillId="0" borderId="5" xfId="0" applyFont="1" applyBorder="1" applyAlignment="1">
      <alignment horizontal="left" vertical="top" wrapText="1"/>
    </xf>
    <xf numFmtId="14" fontId="15" fillId="0" borderId="11" xfId="0" applyNumberFormat="1" applyFont="1" applyBorder="1" applyAlignment="1">
      <alignment horizontal="left" vertical="top" wrapText="1"/>
    </xf>
    <xf numFmtId="0" fontId="15" fillId="0" borderId="18" xfId="0" applyFont="1" applyBorder="1" applyAlignment="1">
      <alignment horizontal="left" vertical="top" wrapText="1"/>
    </xf>
    <xf numFmtId="0" fontId="15" fillId="0" borderId="11" xfId="0" applyFont="1" applyBorder="1" applyAlignment="1">
      <alignment horizontal="left" vertical="top" wrapText="1"/>
    </xf>
    <xf numFmtId="0" fontId="11" fillId="0" borderId="5" xfId="12" applyBorder="1"/>
    <xf numFmtId="0" fontId="17" fillId="0" borderId="0" xfId="0" applyFont="1" applyAlignment="1">
      <alignment horizontal="left" vertical="top"/>
    </xf>
    <xf numFmtId="0" fontId="21" fillId="0" borderId="0" xfId="0" applyFont="1"/>
    <xf numFmtId="0" fontId="17" fillId="0" borderId="5" xfId="0" applyFont="1" applyBorder="1" applyAlignment="1">
      <alignment horizontal="left" vertical="top"/>
    </xf>
    <xf numFmtId="14" fontId="17" fillId="0" borderId="5" xfId="0" applyNumberFormat="1" applyFont="1" applyBorder="1" applyAlignment="1">
      <alignment horizontal="left" vertical="top"/>
    </xf>
    <xf numFmtId="49" fontId="16" fillId="0" borderId="17" xfId="0" applyNumberFormat="1" applyFont="1" applyBorder="1" applyAlignment="1">
      <alignment horizontal="left" vertical="top"/>
    </xf>
    <xf numFmtId="0" fontId="16" fillId="0" borderId="17" xfId="0" applyFont="1" applyBorder="1" applyAlignment="1">
      <alignment horizontal="left" vertical="top"/>
    </xf>
    <xf numFmtId="14" fontId="16" fillId="0" borderId="17" xfId="0" applyNumberFormat="1" applyFont="1" applyBorder="1" applyAlignment="1">
      <alignment horizontal="left" vertical="top"/>
    </xf>
    <xf numFmtId="49" fontId="16" fillId="0" borderId="5" xfId="0" applyNumberFormat="1" applyFont="1" applyBorder="1" applyAlignment="1">
      <alignment horizontal="left" vertical="top"/>
    </xf>
    <xf numFmtId="0" fontId="16" fillId="0" borderId="5" xfId="0" applyFont="1" applyBorder="1" applyAlignment="1">
      <alignment horizontal="left" vertical="top"/>
    </xf>
    <xf numFmtId="0" fontId="19" fillId="0" borderId="5" xfId="0" applyFont="1" applyBorder="1" applyAlignment="1">
      <alignment horizontal="left" vertical="top"/>
    </xf>
    <xf numFmtId="0" fontId="16" fillId="0" borderId="11" xfId="0" applyFont="1" applyBorder="1" applyAlignment="1">
      <alignment horizontal="left" vertical="top"/>
    </xf>
    <xf numFmtId="14" fontId="16" fillId="0" borderId="0" xfId="0" applyNumberFormat="1" applyFont="1" applyAlignment="1">
      <alignment horizontal="left" vertical="top"/>
    </xf>
    <xf numFmtId="0" fontId="30" fillId="0" borderId="2" xfId="0" applyFont="1" applyBorder="1" applyAlignment="1">
      <alignment vertical="center" wrapText="1"/>
    </xf>
    <xf numFmtId="0" fontId="30" fillId="0" borderId="2" xfId="0" applyFont="1" applyBorder="1" applyAlignment="1">
      <alignment vertical="center"/>
    </xf>
    <xf numFmtId="0" fontId="32" fillId="0" borderId="0" xfId="0" applyFont="1" applyAlignment="1">
      <alignment vertical="center"/>
    </xf>
    <xf numFmtId="0" fontId="32" fillId="0" borderId="0" xfId="0" applyFont="1" applyAlignment="1">
      <alignment horizontal="left" vertical="center"/>
    </xf>
    <xf numFmtId="0" fontId="33" fillId="0" borderId="2" xfId="0" applyFont="1" applyBorder="1" applyAlignment="1">
      <alignment vertical="center" wrapText="1"/>
    </xf>
    <xf numFmtId="0" fontId="33" fillId="0" borderId="2" xfId="0" applyFont="1" applyBorder="1" applyAlignment="1">
      <alignment horizontal="left" vertical="center" wrapText="1"/>
    </xf>
    <xf numFmtId="0" fontId="19" fillId="0" borderId="2" xfId="0" applyFont="1" applyBorder="1" applyAlignment="1">
      <alignment vertical="center"/>
    </xf>
    <xf numFmtId="0" fontId="19" fillId="0" borderId="2" xfId="0" applyFont="1" applyBorder="1" applyAlignment="1">
      <alignment horizontal="left" vertical="center"/>
    </xf>
    <xf numFmtId="0" fontId="34" fillId="0" borderId="2" xfId="0" applyFont="1" applyBorder="1" applyAlignment="1">
      <alignment horizontal="left" vertical="center" wrapText="1"/>
    </xf>
    <xf numFmtId="0" fontId="35" fillId="0" borderId="2" xfId="0" applyFont="1" applyBorder="1" applyAlignment="1">
      <alignment horizontal="left" vertical="center"/>
    </xf>
    <xf numFmtId="0" fontId="36" fillId="0" borderId="2" xfId="0" applyFont="1" applyBorder="1" applyAlignment="1">
      <alignment vertical="center"/>
    </xf>
    <xf numFmtId="0" fontId="30" fillId="0" borderId="2" xfId="0" applyFont="1" applyBorder="1" applyAlignment="1">
      <alignment horizontal="left" vertical="center" wrapText="1"/>
    </xf>
    <xf numFmtId="14" fontId="30" fillId="0" borderId="2" xfId="0" applyNumberFormat="1" applyFont="1" applyBorder="1" applyAlignment="1">
      <alignment vertical="center"/>
    </xf>
    <xf numFmtId="0" fontId="37" fillId="0" borderId="2" xfId="0" applyFont="1" applyBorder="1" applyAlignment="1">
      <alignment vertical="center"/>
    </xf>
    <xf numFmtId="0" fontId="38" fillId="0" borderId="2" xfId="0" applyFont="1" applyBorder="1"/>
    <xf numFmtId="14" fontId="30" fillId="0" borderId="2" xfId="0" applyNumberFormat="1" applyFont="1" applyBorder="1"/>
    <xf numFmtId="14" fontId="30" fillId="0" borderId="2" xfId="0" applyNumberFormat="1" applyFont="1" applyBorder="1" applyAlignment="1">
      <alignment vertical="center" wrapText="1"/>
    </xf>
    <xf numFmtId="0" fontId="37" fillId="0" borderId="2" xfId="0" applyFont="1" applyBorder="1"/>
    <xf numFmtId="0" fontId="40" fillId="0" borderId="2" xfId="0" applyFont="1" applyBorder="1" applyAlignment="1">
      <alignment vertical="center" wrapText="1"/>
    </xf>
    <xf numFmtId="0" fontId="40" fillId="0" borderId="2" xfId="0" applyFont="1" applyBorder="1" applyAlignment="1">
      <alignment horizontal="left" vertical="center" wrapText="1"/>
    </xf>
    <xf numFmtId="0" fontId="41" fillId="0" borderId="2" xfId="0" applyFont="1" applyBorder="1" applyAlignment="1">
      <alignment horizontal="left" vertical="center" wrapText="1"/>
    </xf>
    <xf numFmtId="0" fontId="23" fillId="0" borderId="2" xfId="0" applyFont="1" applyBorder="1" applyAlignment="1">
      <alignment vertical="center" wrapText="1"/>
    </xf>
    <xf numFmtId="0" fontId="25" fillId="0" borderId="2" xfId="0" applyFont="1" applyBorder="1" applyAlignment="1">
      <alignment vertical="center" wrapText="1"/>
    </xf>
    <xf numFmtId="0" fontId="42" fillId="0" borderId="2" xfId="0" applyFont="1" applyBorder="1" applyAlignment="1">
      <alignment horizontal="left" vertical="center"/>
    </xf>
    <xf numFmtId="0" fontId="43" fillId="0" borderId="2" xfId="0" applyFont="1" applyBorder="1" applyAlignment="1">
      <alignment horizontal="left" vertical="center" wrapText="1"/>
    </xf>
    <xf numFmtId="0" fontId="23" fillId="0" borderId="2" xfId="0" applyFont="1" applyBorder="1" applyAlignment="1">
      <alignment horizontal="left" vertical="center" wrapText="1"/>
    </xf>
    <xf numFmtId="0" fontId="30" fillId="0" borderId="6" xfId="0" applyFont="1" applyBorder="1" applyAlignment="1">
      <alignment vertical="center" wrapText="1"/>
    </xf>
    <xf numFmtId="0" fontId="30" fillId="0" borderId="14" xfId="0" applyFont="1" applyBorder="1" applyAlignment="1">
      <alignment vertical="center" wrapText="1"/>
    </xf>
    <xf numFmtId="0" fontId="44" fillId="0" borderId="2" xfId="0" applyFont="1" applyBorder="1" applyAlignment="1">
      <alignment horizontal="left" vertical="center" wrapText="1"/>
    </xf>
    <xf numFmtId="0" fontId="17" fillId="0" borderId="15" xfId="0" applyFont="1" applyBorder="1" applyAlignment="1">
      <alignment horizontal="left" vertical="top"/>
    </xf>
    <xf numFmtId="0" fontId="17" fillId="0" borderId="16" xfId="0" applyFont="1" applyBorder="1" applyAlignment="1">
      <alignment horizontal="left" vertical="top"/>
    </xf>
    <xf numFmtId="0" fontId="17" fillId="0" borderId="9" xfId="0" applyFont="1" applyBorder="1" applyAlignment="1">
      <alignment horizontal="left" vertical="top"/>
    </xf>
    <xf numFmtId="14" fontId="31" fillId="0" borderId="15" xfId="0" applyNumberFormat="1" applyFont="1" applyBorder="1" applyAlignment="1">
      <alignment vertical="center"/>
    </xf>
    <xf numFmtId="14" fontId="31" fillId="0" borderId="16" xfId="0" applyNumberFormat="1" applyFont="1" applyBorder="1" applyAlignment="1">
      <alignment vertical="center"/>
    </xf>
    <xf numFmtId="14" fontId="31" fillId="0" borderId="19" xfId="0" applyNumberFormat="1" applyFont="1" applyBorder="1" applyAlignment="1">
      <alignment vertical="center"/>
    </xf>
    <xf numFmtId="0" fontId="24" fillId="0" borderId="7" xfId="0" applyFont="1" applyBorder="1" applyAlignment="1">
      <alignment horizontal="left" vertical="top"/>
    </xf>
    <xf numFmtId="0" fontId="24" fillId="0" borderId="8" xfId="0" applyFont="1" applyBorder="1" applyAlignment="1">
      <alignment horizontal="left" vertical="top"/>
    </xf>
    <xf numFmtId="0" fontId="24" fillId="0" borderId="9" xfId="0" applyFont="1" applyBorder="1" applyAlignment="1">
      <alignment horizontal="left" vertical="top"/>
    </xf>
    <xf numFmtId="0" fontId="30" fillId="0" borderId="2" xfId="0" applyFont="1" applyFill="1" applyBorder="1" applyAlignment="1">
      <alignment vertical="center" wrapText="1"/>
    </xf>
    <xf numFmtId="0" fontId="30" fillId="0" borderId="2" xfId="0" applyFont="1" applyFill="1" applyBorder="1" applyAlignment="1">
      <alignment vertical="center"/>
    </xf>
    <xf numFmtId="0" fontId="30" fillId="0" borderId="2" xfId="0" applyFont="1" applyFill="1" applyBorder="1" applyAlignment="1">
      <alignment horizontal="left" vertical="center" wrapText="1"/>
    </xf>
    <xf numFmtId="0" fontId="34" fillId="0" borderId="2" xfId="0" applyFont="1" applyFill="1" applyBorder="1" applyAlignment="1">
      <alignment horizontal="left" vertical="center" wrapText="1"/>
    </xf>
    <xf numFmtId="0" fontId="36" fillId="0" borderId="2" xfId="0" applyFont="1" applyFill="1" applyBorder="1" applyAlignment="1">
      <alignment vertical="center"/>
    </xf>
    <xf numFmtId="0" fontId="36" fillId="0" borderId="0" xfId="0" applyFont="1" applyFill="1" applyAlignment="1">
      <alignment vertical="center"/>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omgevingswet@vng.n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8"/>
  <sheetViews>
    <sheetView tabSelected="1" workbookViewId="0">
      <selection activeCell="B27" sqref="B27"/>
    </sheetView>
  </sheetViews>
  <sheetFormatPr defaultRowHeight="14.25" x14ac:dyDescent="0.2"/>
  <cols>
    <col min="1" max="1024" width="36.5" style="31" customWidth="1"/>
  </cols>
  <sheetData>
    <row r="1" spans="1:2" x14ac:dyDescent="0.2">
      <c r="A1" s="29" t="s">
        <v>0</v>
      </c>
      <c r="B1" s="30" t="s">
        <v>1</v>
      </c>
    </row>
    <row r="2" spans="1:2" x14ac:dyDescent="0.2">
      <c r="A2" s="30" t="s">
        <v>2</v>
      </c>
      <c r="B2" s="29">
        <v>821002193</v>
      </c>
    </row>
    <row r="3" spans="1:2" x14ac:dyDescent="0.2">
      <c r="A3" s="32" t="s">
        <v>3</v>
      </c>
      <c r="B3" s="32" t="s">
        <v>4</v>
      </c>
    </row>
    <row r="4" spans="1:2" x14ac:dyDescent="0.2">
      <c r="A4" s="30" t="s">
        <v>5</v>
      </c>
      <c r="B4" s="30" t="s">
        <v>478</v>
      </c>
    </row>
    <row r="5" spans="1:2" x14ac:dyDescent="0.2">
      <c r="A5" s="30" t="s">
        <v>6</v>
      </c>
      <c r="B5" s="33">
        <v>46009</v>
      </c>
    </row>
    <row r="6" spans="1:2" x14ac:dyDescent="0.2">
      <c r="A6" s="34" t="s">
        <v>7</v>
      </c>
      <c r="B6" s="30" t="s">
        <v>8</v>
      </c>
    </row>
    <row r="7" spans="1:2" x14ac:dyDescent="0.2">
      <c r="A7" s="30" t="s">
        <v>9</v>
      </c>
      <c r="B7" s="35"/>
    </row>
    <row r="8" spans="1:2" x14ac:dyDescent="0.2">
      <c r="A8" s="30" t="s">
        <v>10</v>
      </c>
      <c r="B8" s="36" t="s">
        <v>11</v>
      </c>
    </row>
  </sheetData>
  <hyperlinks>
    <hyperlink ref="B8" r:id="rId1" xr:uid="{423191F0-6064-432F-97B2-84BE26C0AC1A}"/>
  </hyperlinks>
  <pageMargins left="0" right="0" top="0.39370078740157483" bottom="0.39370078740157483" header="0" footer="0"/>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I23"/>
  <sheetViews>
    <sheetView workbookViewId="0">
      <pane xSplit="2" ySplit="2" topLeftCell="C3" activePane="bottomRight" state="frozen"/>
      <selection pane="topRight" activeCell="C1" sqref="C1"/>
      <selection pane="bottomLeft" activeCell="A2" sqref="A2"/>
      <selection pane="bottomRight" activeCell="C25" sqref="C25"/>
    </sheetView>
  </sheetViews>
  <sheetFormatPr defaultRowHeight="14.25" x14ac:dyDescent="0.2"/>
  <cols>
    <col min="1" max="1" width="10.75" style="31" customWidth="1"/>
    <col min="2" max="2" width="46.25" style="31" bestFit="1" customWidth="1"/>
    <col min="3" max="3" width="15.875" style="48" customWidth="1"/>
    <col min="4" max="4" width="22.25" style="31" bestFit="1" customWidth="1"/>
    <col min="5" max="1023" width="10.625" style="31" customWidth="1"/>
  </cols>
  <sheetData>
    <row r="1" spans="1:1023" s="38" customFormat="1" ht="13.9" customHeight="1" x14ac:dyDescent="0.2">
      <c r="A1" s="78" t="str">
        <f>CONCATENATE("Zaaktypen in ",Zaaktypecatalogus!B3," versie ",Zaaktypecatalogus!B4)</f>
        <v>Zaaktypen in Zaaktypecatalogus Omgevingswet versie 1.9</v>
      </c>
      <c r="B1" s="79"/>
      <c r="C1" s="79"/>
      <c r="D1" s="80"/>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c r="IW1" s="37"/>
      <c r="IX1" s="37"/>
      <c r="IY1" s="37"/>
      <c r="IZ1" s="37"/>
      <c r="JA1" s="37"/>
      <c r="JB1" s="37"/>
      <c r="JC1" s="37"/>
      <c r="JD1" s="37"/>
      <c r="JE1" s="37"/>
      <c r="JF1" s="37"/>
      <c r="JG1" s="37"/>
      <c r="JH1" s="37"/>
      <c r="JI1" s="37"/>
      <c r="JJ1" s="37"/>
      <c r="JK1" s="37"/>
      <c r="JL1" s="37"/>
      <c r="JM1" s="37"/>
      <c r="JN1" s="37"/>
      <c r="JO1" s="37"/>
      <c r="JP1" s="37"/>
      <c r="JQ1" s="37"/>
      <c r="JR1" s="37"/>
      <c r="JS1" s="37"/>
      <c r="JT1" s="37"/>
      <c r="JU1" s="37"/>
      <c r="JV1" s="37"/>
      <c r="JW1" s="37"/>
      <c r="JX1" s="37"/>
      <c r="JY1" s="37"/>
      <c r="JZ1" s="37"/>
      <c r="KA1" s="37"/>
      <c r="KB1" s="37"/>
      <c r="KC1" s="37"/>
      <c r="KD1" s="37"/>
      <c r="KE1" s="37"/>
      <c r="KF1" s="37"/>
      <c r="KG1" s="37"/>
      <c r="KH1" s="37"/>
      <c r="KI1" s="37"/>
      <c r="KJ1" s="37"/>
      <c r="KK1" s="37"/>
      <c r="KL1" s="37"/>
      <c r="KM1" s="37"/>
      <c r="KN1" s="37"/>
      <c r="KO1" s="37"/>
      <c r="KP1" s="37"/>
      <c r="KQ1" s="37"/>
      <c r="KR1" s="37"/>
      <c r="KS1" s="37"/>
      <c r="KT1" s="37"/>
      <c r="KU1" s="37"/>
      <c r="KV1" s="37"/>
      <c r="KW1" s="37"/>
      <c r="KX1" s="37"/>
      <c r="KY1" s="37"/>
      <c r="KZ1" s="37"/>
      <c r="LA1" s="37"/>
      <c r="LB1" s="37"/>
      <c r="LC1" s="37"/>
      <c r="LD1" s="37"/>
      <c r="LE1" s="37"/>
      <c r="LF1" s="37"/>
      <c r="LG1" s="37"/>
      <c r="LH1" s="37"/>
      <c r="LI1" s="37"/>
      <c r="LJ1" s="37"/>
      <c r="LK1" s="37"/>
      <c r="LL1" s="37"/>
      <c r="LM1" s="37"/>
      <c r="LN1" s="37"/>
      <c r="LO1" s="37"/>
      <c r="LP1" s="37"/>
      <c r="LQ1" s="37"/>
      <c r="LR1" s="37"/>
      <c r="LS1" s="37"/>
      <c r="LT1" s="37"/>
      <c r="LU1" s="37"/>
      <c r="LV1" s="37"/>
      <c r="LW1" s="37"/>
      <c r="LX1" s="37"/>
      <c r="LY1" s="37"/>
      <c r="LZ1" s="37"/>
      <c r="MA1" s="37"/>
      <c r="MB1" s="37"/>
      <c r="MC1" s="37"/>
      <c r="MD1" s="37"/>
      <c r="ME1" s="37"/>
      <c r="MF1" s="37"/>
      <c r="MG1" s="37"/>
      <c r="MH1" s="37"/>
      <c r="MI1" s="37"/>
      <c r="MJ1" s="37"/>
      <c r="MK1" s="37"/>
      <c r="ML1" s="37"/>
      <c r="MM1" s="37"/>
      <c r="MN1" s="37"/>
      <c r="MO1" s="37"/>
      <c r="MP1" s="37"/>
      <c r="MQ1" s="37"/>
      <c r="MR1" s="37"/>
      <c r="MS1" s="37"/>
      <c r="MT1" s="37"/>
      <c r="MU1" s="37"/>
      <c r="MV1" s="37"/>
      <c r="MW1" s="37"/>
      <c r="MX1" s="37"/>
      <c r="MY1" s="37"/>
      <c r="MZ1" s="37"/>
      <c r="NA1" s="37"/>
      <c r="NB1" s="37"/>
      <c r="NC1" s="37"/>
      <c r="ND1" s="37"/>
      <c r="NE1" s="37"/>
      <c r="NF1" s="37"/>
      <c r="NG1" s="37"/>
      <c r="NH1" s="37"/>
      <c r="NI1" s="37"/>
      <c r="NJ1" s="37"/>
      <c r="NK1" s="37"/>
      <c r="NL1" s="37"/>
      <c r="NM1" s="37"/>
      <c r="NN1" s="37"/>
      <c r="NO1" s="37"/>
      <c r="NP1" s="37"/>
      <c r="NQ1" s="37"/>
      <c r="NR1" s="37"/>
      <c r="NS1" s="37"/>
      <c r="NT1" s="37"/>
      <c r="NU1" s="37"/>
      <c r="NV1" s="37"/>
      <c r="NW1" s="37"/>
      <c r="NX1" s="37"/>
      <c r="NY1" s="37"/>
      <c r="NZ1" s="37"/>
      <c r="OA1" s="37"/>
      <c r="OB1" s="37"/>
      <c r="OC1" s="37"/>
      <c r="OD1" s="37"/>
      <c r="OE1" s="37"/>
      <c r="OF1" s="37"/>
      <c r="OG1" s="37"/>
      <c r="OH1" s="37"/>
      <c r="OI1" s="37"/>
      <c r="OJ1" s="37"/>
      <c r="OK1" s="37"/>
      <c r="OL1" s="37"/>
      <c r="OM1" s="37"/>
      <c r="ON1" s="37"/>
      <c r="OO1" s="37"/>
      <c r="OP1" s="37"/>
      <c r="OQ1" s="37"/>
      <c r="OR1" s="37"/>
      <c r="OS1" s="37"/>
      <c r="OT1" s="37"/>
      <c r="OU1" s="37"/>
      <c r="OV1" s="37"/>
      <c r="OW1" s="37"/>
      <c r="OX1" s="37"/>
      <c r="OY1" s="37"/>
      <c r="OZ1" s="37"/>
      <c r="PA1" s="37"/>
      <c r="PB1" s="37"/>
      <c r="PC1" s="37"/>
      <c r="PD1" s="37"/>
      <c r="PE1" s="37"/>
      <c r="PF1" s="37"/>
      <c r="PG1" s="37"/>
      <c r="PH1" s="37"/>
      <c r="PI1" s="37"/>
      <c r="PJ1" s="37"/>
      <c r="PK1" s="37"/>
      <c r="PL1" s="37"/>
      <c r="PM1" s="37"/>
      <c r="PN1" s="37"/>
      <c r="PO1" s="37"/>
      <c r="PP1" s="37"/>
      <c r="PQ1" s="37"/>
      <c r="PR1" s="37"/>
      <c r="PS1" s="37"/>
      <c r="PT1" s="37"/>
      <c r="PU1" s="37"/>
      <c r="PV1" s="37"/>
      <c r="PW1" s="37"/>
      <c r="PX1" s="37"/>
      <c r="PY1" s="37"/>
      <c r="PZ1" s="37"/>
      <c r="QA1" s="37"/>
      <c r="QB1" s="37"/>
      <c r="QC1" s="37"/>
      <c r="QD1" s="37"/>
      <c r="QE1" s="37"/>
      <c r="QF1" s="37"/>
      <c r="QG1" s="37"/>
      <c r="QH1" s="37"/>
      <c r="QI1" s="37"/>
      <c r="QJ1" s="37"/>
      <c r="QK1" s="37"/>
      <c r="QL1" s="37"/>
      <c r="QM1" s="37"/>
      <c r="QN1" s="37"/>
      <c r="QO1" s="37"/>
      <c r="QP1" s="37"/>
      <c r="QQ1" s="37"/>
      <c r="QR1" s="37"/>
      <c r="QS1" s="37"/>
      <c r="QT1" s="37"/>
      <c r="QU1" s="37"/>
      <c r="QV1" s="37"/>
      <c r="QW1" s="37"/>
      <c r="QX1" s="37"/>
      <c r="QY1" s="37"/>
      <c r="QZ1" s="37"/>
      <c r="RA1" s="37"/>
      <c r="RB1" s="37"/>
      <c r="RC1" s="37"/>
      <c r="RD1" s="37"/>
      <c r="RE1" s="37"/>
      <c r="RF1" s="37"/>
      <c r="RG1" s="37"/>
      <c r="RH1" s="37"/>
      <c r="RI1" s="37"/>
      <c r="RJ1" s="37"/>
      <c r="RK1" s="37"/>
      <c r="RL1" s="37"/>
      <c r="RM1" s="37"/>
      <c r="RN1" s="37"/>
      <c r="RO1" s="37"/>
      <c r="RP1" s="37"/>
      <c r="RQ1" s="37"/>
      <c r="RR1" s="37"/>
      <c r="RS1" s="37"/>
      <c r="RT1" s="37"/>
      <c r="RU1" s="37"/>
      <c r="RV1" s="37"/>
      <c r="RW1" s="37"/>
      <c r="RX1" s="37"/>
      <c r="RY1" s="37"/>
      <c r="RZ1" s="37"/>
      <c r="SA1" s="37"/>
      <c r="SB1" s="37"/>
      <c r="SC1" s="37"/>
      <c r="SD1" s="37"/>
      <c r="SE1" s="37"/>
      <c r="SF1" s="37"/>
      <c r="SG1" s="37"/>
      <c r="SH1" s="37"/>
      <c r="SI1" s="37"/>
      <c r="SJ1" s="37"/>
      <c r="SK1" s="37"/>
      <c r="SL1" s="37"/>
      <c r="SM1" s="37"/>
      <c r="SN1" s="37"/>
      <c r="SO1" s="37"/>
      <c r="SP1" s="37"/>
      <c r="SQ1" s="37"/>
      <c r="SR1" s="37"/>
      <c r="SS1" s="37"/>
      <c r="ST1" s="37"/>
      <c r="SU1" s="37"/>
      <c r="SV1" s="37"/>
      <c r="SW1" s="37"/>
      <c r="SX1" s="37"/>
      <c r="SY1" s="37"/>
      <c r="SZ1" s="37"/>
      <c r="TA1" s="37"/>
      <c r="TB1" s="37"/>
      <c r="TC1" s="37"/>
      <c r="TD1" s="37"/>
      <c r="TE1" s="37"/>
      <c r="TF1" s="37"/>
      <c r="TG1" s="37"/>
      <c r="TH1" s="37"/>
      <c r="TI1" s="37"/>
      <c r="TJ1" s="37"/>
      <c r="TK1" s="37"/>
      <c r="TL1" s="37"/>
      <c r="TM1" s="37"/>
      <c r="TN1" s="37"/>
      <c r="TO1" s="37"/>
      <c r="TP1" s="37"/>
      <c r="TQ1" s="37"/>
      <c r="TR1" s="37"/>
      <c r="TS1" s="37"/>
      <c r="TT1" s="37"/>
      <c r="TU1" s="37"/>
      <c r="TV1" s="37"/>
      <c r="TW1" s="37"/>
      <c r="TX1" s="37"/>
      <c r="TY1" s="37"/>
      <c r="TZ1" s="37"/>
      <c r="UA1" s="37"/>
      <c r="UB1" s="37"/>
      <c r="UC1" s="37"/>
      <c r="UD1" s="37"/>
      <c r="UE1" s="37"/>
      <c r="UF1" s="37"/>
      <c r="UG1" s="37"/>
      <c r="UH1" s="37"/>
      <c r="UI1" s="37"/>
      <c r="UJ1" s="37"/>
      <c r="UK1" s="37"/>
      <c r="UL1" s="37"/>
      <c r="UM1" s="37"/>
      <c r="UN1" s="37"/>
      <c r="UO1" s="37"/>
      <c r="UP1" s="37"/>
      <c r="UQ1" s="37"/>
      <c r="UR1" s="37"/>
      <c r="US1" s="37"/>
      <c r="UT1" s="37"/>
      <c r="UU1" s="37"/>
      <c r="UV1" s="37"/>
      <c r="UW1" s="37"/>
      <c r="UX1" s="37"/>
      <c r="UY1" s="37"/>
      <c r="UZ1" s="37"/>
      <c r="VA1" s="37"/>
      <c r="VB1" s="37"/>
      <c r="VC1" s="37"/>
      <c r="VD1" s="37"/>
      <c r="VE1" s="37"/>
      <c r="VF1" s="37"/>
      <c r="VG1" s="37"/>
      <c r="VH1" s="37"/>
      <c r="VI1" s="37"/>
      <c r="VJ1" s="37"/>
      <c r="VK1" s="37"/>
      <c r="VL1" s="37"/>
      <c r="VM1" s="37"/>
      <c r="VN1" s="37"/>
      <c r="VO1" s="37"/>
      <c r="VP1" s="37"/>
      <c r="VQ1" s="37"/>
      <c r="VR1" s="37"/>
      <c r="VS1" s="37"/>
      <c r="VT1" s="37"/>
      <c r="VU1" s="37"/>
      <c r="VV1" s="37"/>
      <c r="VW1" s="37"/>
      <c r="VX1" s="37"/>
      <c r="VY1" s="37"/>
      <c r="VZ1" s="37"/>
      <c r="WA1" s="37"/>
      <c r="WB1" s="37"/>
      <c r="WC1" s="37"/>
      <c r="WD1" s="37"/>
      <c r="WE1" s="37"/>
      <c r="WF1" s="37"/>
      <c r="WG1" s="37"/>
      <c r="WH1" s="37"/>
      <c r="WI1" s="37"/>
      <c r="WJ1" s="37"/>
      <c r="WK1" s="37"/>
      <c r="WL1" s="37"/>
      <c r="WM1" s="37"/>
      <c r="WN1" s="37"/>
      <c r="WO1" s="37"/>
      <c r="WP1" s="37"/>
      <c r="WQ1" s="37"/>
      <c r="WR1" s="37"/>
      <c r="WS1" s="37"/>
      <c r="WT1" s="37"/>
      <c r="WU1" s="37"/>
      <c r="WV1" s="37"/>
      <c r="WW1" s="37"/>
      <c r="WX1" s="37"/>
      <c r="WY1" s="37"/>
      <c r="WZ1" s="37"/>
      <c r="XA1" s="37"/>
      <c r="XB1" s="37"/>
      <c r="XC1" s="37"/>
      <c r="XD1" s="37"/>
      <c r="XE1" s="37"/>
      <c r="XF1" s="37"/>
      <c r="XG1" s="37"/>
      <c r="XH1" s="37"/>
      <c r="XI1" s="37"/>
      <c r="XJ1" s="37"/>
      <c r="XK1" s="37"/>
      <c r="XL1" s="37"/>
      <c r="XM1" s="37"/>
      <c r="XN1" s="37"/>
      <c r="XO1" s="37"/>
      <c r="XP1" s="37"/>
      <c r="XQ1" s="37"/>
      <c r="XR1" s="37"/>
      <c r="XS1" s="37"/>
      <c r="XT1" s="37"/>
      <c r="XU1" s="37"/>
      <c r="XV1" s="37"/>
      <c r="XW1" s="37"/>
      <c r="XX1" s="37"/>
      <c r="XY1" s="37"/>
      <c r="XZ1" s="37"/>
      <c r="YA1" s="37"/>
      <c r="YB1" s="37"/>
      <c r="YC1" s="37"/>
      <c r="YD1" s="37"/>
      <c r="YE1" s="37"/>
      <c r="YF1" s="37"/>
      <c r="YG1" s="37"/>
      <c r="YH1" s="37"/>
      <c r="YI1" s="37"/>
      <c r="YJ1" s="37"/>
      <c r="YK1" s="37"/>
      <c r="YL1" s="37"/>
      <c r="YM1" s="37"/>
      <c r="YN1" s="37"/>
      <c r="YO1" s="37"/>
      <c r="YP1" s="37"/>
      <c r="YQ1" s="37"/>
      <c r="YR1" s="37"/>
      <c r="YS1" s="37"/>
      <c r="YT1" s="37"/>
      <c r="YU1" s="37"/>
      <c r="YV1" s="37"/>
      <c r="YW1" s="37"/>
      <c r="YX1" s="37"/>
      <c r="YY1" s="37"/>
      <c r="YZ1" s="37"/>
      <c r="ZA1" s="37"/>
      <c r="ZB1" s="37"/>
      <c r="ZC1" s="37"/>
      <c r="ZD1" s="37"/>
      <c r="ZE1" s="37"/>
      <c r="ZF1" s="37"/>
      <c r="ZG1" s="37"/>
      <c r="ZH1" s="37"/>
      <c r="ZI1" s="37"/>
      <c r="ZJ1" s="37"/>
      <c r="ZK1" s="37"/>
      <c r="ZL1" s="37"/>
      <c r="ZM1" s="37"/>
      <c r="ZN1" s="37"/>
      <c r="ZO1" s="37"/>
      <c r="ZP1" s="37"/>
      <c r="ZQ1" s="37"/>
      <c r="ZR1" s="37"/>
      <c r="ZS1" s="37"/>
      <c r="ZT1" s="37"/>
      <c r="ZU1" s="37"/>
      <c r="ZV1" s="37"/>
      <c r="ZW1" s="37"/>
      <c r="ZX1" s="37"/>
      <c r="ZY1" s="37"/>
      <c r="ZZ1" s="37"/>
      <c r="AAA1" s="37"/>
      <c r="AAB1" s="37"/>
      <c r="AAC1" s="37"/>
      <c r="AAD1" s="37"/>
      <c r="AAE1" s="37"/>
      <c r="AAF1" s="37"/>
      <c r="AAG1" s="37"/>
      <c r="AAH1" s="37"/>
      <c r="AAI1" s="37"/>
      <c r="AAJ1" s="37"/>
      <c r="AAK1" s="37"/>
      <c r="AAL1" s="37"/>
      <c r="AAM1" s="37"/>
      <c r="AAN1" s="37"/>
      <c r="AAO1" s="37"/>
      <c r="AAP1" s="37"/>
      <c r="AAQ1" s="37"/>
      <c r="AAR1" s="37"/>
      <c r="AAS1" s="37"/>
      <c r="AAT1" s="37"/>
      <c r="AAU1" s="37"/>
      <c r="AAV1" s="37"/>
      <c r="AAW1" s="37"/>
      <c r="AAX1" s="37"/>
      <c r="AAY1" s="37"/>
      <c r="AAZ1" s="37"/>
      <c r="ABA1" s="37"/>
      <c r="ABB1" s="37"/>
      <c r="ABC1" s="37"/>
      <c r="ABD1" s="37"/>
      <c r="ABE1" s="37"/>
      <c r="ABF1" s="37"/>
      <c r="ABG1" s="37"/>
      <c r="ABH1" s="37"/>
      <c r="ABI1" s="37"/>
      <c r="ABJ1" s="37"/>
      <c r="ABK1" s="37"/>
      <c r="ABL1" s="37"/>
      <c r="ABM1" s="37"/>
      <c r="ABN1" s="37"/>
      <c r="ABO1" s="37"/>
      <c r="ABP1" s="37"/>
      <c r="ABQ1" s="37"/>
      <c r="ABR1" s="37"/>
      <c r="ABS1" s="37"/>
      <c r="ABT1" s="37"/>
      <c r="ABU1" s="37"/>
      <c r="ABV1" s="37"/>
      <c r="ABW1" s="37"/>
      <c r="ABX1" s="37"/>
      <c r="ABY1" s="37"/>
      <c r="ABZ1" s="37"/>
      <c r="ACA1" s="37"/>
      <c r="ACB1" s="37"/>
      <c r="ACC1" s="37"/>
      <c r="ACD1" s="37"/>
      <c r="ACE1" s="37"/>
      <c r="ACF1" s="37"/>
      <c r="ACG1" s="37"/>
      <c r="ACH1" s="37"/>
      <c r="ACI1" s="37"/>
      <c r="ACJ1" s="37"/>
      <c r="ACK1" s="37"/>
      <c r="ACL1" s="37"/>
      <c r="ACM1" s="37"/>
      <c r="ACN1" s="37"/>
      <c r="ACO1" s="37"/>
      <c r="ACP1" s="37"/>
      <c r="ACQ1" s="37"/>
      <c r="ACR1" s="37"/>
      <c r="ACS1" s="37"/>
      <c r="ACT1" s="37"/>
      <c r="ACU1" s="37"/>
      <c r="ACV1" s="37"/>
      <c r="ACW1" s="37"/>
      <c r="ACX1" s="37"/>
      <c r="ACY1" s="37"/>
      <c r="ACZ1" s="37"/>
      <c r="ADA1" s="37"/>
      <c r="ADB1" s="37"/>
      <c r="ADC1" s="37"/>
      <c r="ADD1" s="37"/>
      <c r="ADE1" s="37"/>
      <c r="ADF1" s="37"/>
      <c r="ADG1" s="37"/>
      <c r="ADH1" s="37"/>
      <c r="ADI1" s="37"/>
      <c r="ADJ1" s="37"/>
      <c r="ADK1" s="37"/>
      <c r="ADL1" s="37"/>
      <c r="ADM1" s="37"/>
      <c r="ADN1" s="37"/>
      <c r="ADO1" s="37"/>
      <c r="ADP1" s="37"/>
      <c r="ADQ1" s="37"/>
      <c r="ADR1" s="37"/>
      <c r="ADS1" s="37"/>
      <c r="ADT1" s="37"/>
      <c r="ADU1" s="37"/>
      <c r="ADV1" s="37"/>
      <c r="ADW1" s="37"/>
      <c r="ADX1" s="37"/>
      <c r="ADY1" s="37"/>
      <c r="ADZ1" s="37"/>
      <c r="AEA1" s="37"/>
      <c r="AEB1" s="37"/>
      <c r="AEC1" s="37"/>
      <c r="AED1" s="37"/>
      <c r="AEE1" s="37"/>
      <c r="AEF1" s="37"/>
      <c r="AEG1" s="37"/>
      <c r="AEH1" s="37"/>
      <c r="AEI1" s="37"/>
      <c r="AEJ1" s="37"/>
      <c r="AEK1" s="37"/>
      <c r="AEL1" s="37"/>
      <c r="AEM1" s="37"/>
      <c r="AEN1" s="37"/>
      <c r="AEO1" s="37"/>
      <c r="AEP1" s="37"/>
      <c r="AEQ1" s="37"/>
      <c r="AER1" s="37"/>
      <c r="AES1" s="37"/>
      <c r="AET1" s="37"/>
      <c r="AEU1" s="37"/>
      <c r="AEV1" s="37"/>
      <c r="AEW1" s="37"/>
      <c r="AEX1" s="37"/>
      <c r="AEY1" s="37"/>
      <c r="AEZ1" s="37"/>
      <c r="AFA1" s="37"/>
      <c r="AFB1" s="37"/>
      <c r="AFC1" s="37"/>
      <c r="AFD1" s="37"/>
      <c r="AFE1" s="37"/>
      <c r="AFF1" s="37"/>
      <c r="AFG1" s="37"/>
      <c r="AFH1" s="37"/>
      <c r="AFI1" s="37"/>
      <c r="AFJ1" s="37"/>
      <c r="AFK1" s="37"/>
      <c r="AFL1" s="37"/>
      <c r="AFM1" s="37"/>
      <c r="AFN1" s="37"/>
      <c r="AFO1" s="37"/>
      <c r="AFP1" s="37"/>
      <c r="AFQ1" s="37"/>
      <c r="AFR1" s="37"/>
      <c r="AFS1" s="37"/>
      <c r="AFT1" s="37"/>
      <c r="AFU1" s="37"/>
      <c r="AFV1" s="37"/>
      <c r="AFW1" s="37"/>
      <c r="AFX1" s="37"/>
      <c r="AFY1" s="37"/>
      <c r="AFZ1" s="37"/>
      <c r="AGA1" s="37"/>
      <c r="AGB1" s="37"/>
      <c r="AGC1" s="37"/>
      <c r="AGD1" s="37"/>
      <c r="AGE1" s="37"/>
      <c r="AGF1" s="37"/>
      <c r="AGG1" s="37"/>
      <c r="AGH1" s="37"/>
      <c r="AGI1" s="37"/>
      <c r="AGJ1" s="37"/>
      <c r="AGK1" s="37"/>
      <c r="AGL1" s="37"/>
      <c r="AGM1" s="37"/>
      <c r="AGN1" s="37"/>
      <c r="AGO1" s="37"/>
      <c r="AGP1" s="37"/>
      <c r="AGQ1" s="37"/>
      <c r="AGR1" s="37"/>
      <c r="AGS1" s="37"/>
      <c r="AGT1" s="37"/>
      <c r="AGU1" s="37"/>
      <c r="AGV1" s="37"/>
      <c r="AGW1" s="37"/>
      <c r="AGX1" s="37"/>
      <c r="AGY1" s="37"/>
      <c r="AGZ1" s="37"/>
      <c r="AHA1" s="37"/>
      <c r="AHB1" s="37"/>
      <c r="AHC1" s="37"/>
      <c r="AHD1" s="37"/>
      <c r="AHE1" s="37"/>
      <c r="AHF1" s="37"/>
      <c r="AHG1" s="37"/>
      <c r="AHH1" s="37"/>
      <c r="AHI1" s="37"/>
      <c r="AHJ1" s="37"/>
      <c r="AHK1" s="37"/>
      <c r="AHL1" s="37"/>
      <c r="AHM1" s="37"/>
      <c r="AHN1" s="37"/>
      <c r="AHO1" s="37"/>
      <c r="AHP1" s="37"/>
      <c r="AHQ1" s="37"/>
      <c r="AHR1" s="37"/>
      <c r="AHS1" s="37"/>
      <c r="AHT1" s="37"/>
      <c r="AHU1" s="37"/>
      <c r="AHV1" s="37"/>
      <c r="AHW1" s="37"/>
      <c r="AHX1" s="37"/>
      <c r="AHY1" s="37"/>
      <c r="AHZ1" s="37"/>
      <c r="AIA1" s="37"/>
      <c r="AIB1" s="37"/>
      <c r="AIC1" s="37"/>
      <c r="AID1" s="37"/>
      <c r="AIE1" s="37"/>
      <c r="AIF1" s="37"/>
      <c r="AIG1" s="37"/>
      <c r="AIH1" s="37"/>
      <c r="AII1" s="37"/>
      <c r="AIJ1" s="37"/>
      <c r="AIK1" s="37"/>
      <c r="AIL1" s="37"/>
      <c r="AIM1" s="37"/>
      <c r="AIN1" s="37"/>
      <c r="AIO1" s="37"/>
      <c r="AIP1" s="37"/>
      <c r="AIQ1" s="37"/>
      <c r="AIR1" s="37"/>
      <c r="AIS1" s="37"/>
      <c r="AIT1" s="37"/>
      <c r="AIU1" s="37"/>
      <c r="AIV1" s="37"/>
      <c r="AIW1" s="37"/>
      <c r="AIX1" s="37"/>
      <c r="AIY1" s="37"/>
      <c r="AIZ1" s="37"/>
      <c r="AJA1" s="37"/>
      <c r="AJB1" s="37"/>
      <c r="AJC1" s="37"/>
      <c r="AJD1" s="37"/>
      <c r="AJE1" s="37"/>
      <c r="AJF1" s="37"/>
      <c r="AJG1" s="37"/>
      <c r="AJH1" s="37"/>
      <c r="AJI1" s="37"/>
      <c r="AJJ1" s="37"/>
      <c r="AJK1" s="37"/>
      <c r="AJL1" s="37"/>
      <c r="AJM1" s="37"/>
      <c r="AJN1" s="37"/>
      <c r="AJO1" s="37"/>
      <c r="AJP1" s="37"/>
      <c r="AJQ1" s="37"/>
      <c r="AJR1" s="37"/>
      <c r="AJS1" s="37"/>
      <c r="AJT1" s="37"/>
      <c r="AJU1" s="37"/>
      <c r="AJV1" s="37"/>
      <c r="AJW1" s="37"/>
      <c r="AJX1" s="37"/>
      <c r="AJY1" s="37"/>
      <c r="AJZ1" s="37"/>
      <c r="AKA1" s="37"/>
      <c r="AKB1" s="37"/>
      <c r="AKC1" s="37"/>
      <c r="AKD1" s="37"/>
      <c r="AKE1" s="37"/>
      <c r="AKF1" s="37"/>
      <c r="AKG1" s="37"/>
      <c r="AKH1" s="37"/>
      <c r="AKI1" s="37"/>
      <c r="AKJ1" s="37"/>
      <c r="AKK1" s="37"/>
      <c r="AKL1" s="37"/>
      <c r="AKM1" s="37"/>
      <c r="AKN1" s="37"/>
      <c r="AKO1" s="37"/>
      <c r="AKP1" s="37"/>
      <c r="AKQ1" s="37"/>
      <c r="AKR1" s="37"/>
      <c r="AKS1" s="37"/>
      <c r="AKT1" s="37"/>
      <c r="AKU1" s="37"/>
      <c r="AKV1" s="37"/>
      <c r="AKW1" s="37"/>
      <c r="AKX1" s="37"/>
      <c r="AKY1" s="37"/>
      <c r="AKZ1" s="37"/>
      <c r="ALA1" s="37"/>
      <c r="ALB1" s="37"/>
      <c r="ALC1" s="37"/>
      <c r="ALD1" s="37"/>
      <c r="ALE1" s="37"/>
      <c r="ALF1" s="37"/>
      <c r="ALG1" s="37"/>
      <c r="ALH1" s="37"/>
      <c r="ALI1" s="37"/>
      <c r="ALJ1" s="37"/>
      <c r="ALK1" s="37"/>
      <c r="ALL1" s="37"/>
      <c r="ALM1" s="37"/>
      <c r="ALN1" s="37"/>
      <c r="ALO1" s="37"/>
      <c r="ALP1" s="37"/>
      <c r="ALQ1" s="37"/>
      <c r="ALR1" s="37"/>
      <c r="ALS1" s="37"/>
      <c r="ALT1" s="37"/>
      <c r="ALU1" s="37"/>
      <c r="ALV1" s="37"/>
      <c r="ALW1" s="37"/>
      <c r="ALX1" s="37"/>
      <c r="ALY1" s="37"/>
      <c r="ALZ1" s="37"/>
      <c r="AMA1" s="37"/>
      <c r="AMB1" s="37"/>
      <c r="AMC1" s="37"/>
      <c r="AMD1" s="37"/>
      <c r="AME1" s="37"/>
      <c r="AMF1" s="37"/>
      <c r="AMG1" s="37"/>
      <c r="AMH1" s="37"/>
      <c r="AMI1" s="37"/>
    </row>
    <row r="2" spans="1:1023" s="37" customFormat="1" ht="15" x14ac:dyDescent="0.2">
      <c r="A2" s="39" t="s">
        <v>12</v>
      </c>
      <c r="B2" s="39" t="s">
        <v>13</v>
      </c>
      <c r="C2" s="40" t="s">
        <v>14</v>
      </c>
    </row>
    <row r="3" spans="1:1023" x14ac:dyDescent="0.2">
      <c r="A3" s="41" t="s">
        <v>15</v>
      </c>
      <c r="B3" s="42" t="s">
        <v>16</v>
      </c>
      <c r="C3" s="43">
        <v>45849</v>
      </c>
    </row>
    <row r="4" spans="1:1023" x14ac:dyDescent="0.2">
      <c r="A4" s="44" t="s">
        <v>17</v>
      </c>
      <c r="B4" s="45" t="s">
        <v>18</v>
      </c>
      <c r="C4" s="43">
        <v>45849</v>
      </c>
    </row>
    <row r="5" spans="1:1023" x14ac:dyDescent="0.2">
      <c r="A5" s="44" t="s">
        <v>19</v>
      </c>
      <c r="B5" s="45" t="s">
        <v>20</v>
      </c>
      <c r="C5" s="43">
        <v>45632</v>
      </c>
    </row>
    <row r="6" spans="1:1023" x14ac:dyDescent="0.2">
      <c r="A6" s="44" t="s">
        <v>21</v>
      </c>
      <c r="B6" s="45" t="s">
        <v>22</v>
      </c>
      <c r="C6" s="43">
        <v>45849</v>
      </c>
    </row>
    <row r="7" spans="1:1023" x14ac:dyDescent="0.2">
      <c r="A7" s="44" t="s">
        <v>23</v>
      </c>
      <c r="B7" s="45" t="s">
        <v>24</v>
      </c>
      <c r="C7" s="43">
        <v>45632</v>
      </c>
    </row>
    <row r="8" spans="1:1023" x14ac:dyDescent="0.2">
      <c r="A8" s="44" t="s">
        <v>25</v>
      </c>
      <c r="B8" s="45" t="s">
        <v>26</v>
      </c>
      <c r="C8" s="43">
        <v>46009</v>
      </c>
    </row>
    <row r="9" spans="1:1023" x14ac:dyDescent="0.2">
      <c r="A9" s="44" t="s">
        <v>27</v>
      </c>
      <c r="B9" s="45" t="s">
        <v>28</v>
      </c>
      <c r="C9" s="43">
        <v>45849</v>
      </c>
    </row>
    <row r="10" spans="1:1023" x14ac:dyDescent="0.2">
      <c r="A10" s="44" t="s">
        <v>29</v>
      </c>
      <c r="B10" s="45" t="s">
        <v>30</v>
      </c>
      <c r="C10" s="43">
        <v>45632</v>
      </c>
    </row>
    <row r="11" spans="1:1023" x14ac:dyDescent="0.2">
      <c r="A11" s="44" t="s">
        <v>31</v>
      </c>
      <c r="B11" s="45" t="s">
        <v>32</v>
      </c>
      <c r="C11" s="43">
        <v>46009</v>
      </c>
    </row>
    <row r="12" spans="1:1023" x14ac:dyDescent="0.2">
      <c r="A12" s="45">
        <v>10</v>
      </c>
      <c r="B12" s="45" t="s">
        <v>33</v>
      </c>
      <c r="C12" s="43">
        <v>46009</v>
      </c>
    </row>
    <row r="13" spans="1:1023" x14ac:dyDescent="0.2">
      <c r="A13" s="45">
        <v>11</v>
      </c>
      <c r="B13" s="45" t="s">
        <v>34</v>
      </c>
      <c r="C13" s="43">
        <v>46009</v>
      </c>
    </row>
    <row r="14" spans="1:1023" x14ac:dyDescent="0.2">
      <c r="A14" s="45">
        <v>12</v>
      </c>
      <c r="B14" s="45" t="s">
        <v>35</v>
      </c>
      <c r="C14" s="43">
        <v>45632</v>
      </c>
    </row>
    <row r="15" spans="1:1023" x14ac:dyDescent="0.2">
      <c r="A15" s="45">
        <v>13</v>
      </c>
      <c r="B15" s="45" t="s">
        <v>36</v>
      </c>
      <c r="C15" s="43">
        <v>45849</v>
      </c>
    </row>
    <row r="16" spans="1:1023" x14ac:dyDescent="0.2">
      <c r="A16" s="45">
        <v>14</v>
      </c>
      <c r="B16" s="45" t="s">
        <v>37</v>
      </c>
      <c r="C16" s="43">
        <v>46009</v>
      </c>
    </row>
    <row r="17" spans="1:3" x14ac:dyDescent="0.2">
      <c r="A17" s="45">
        <v>16</v>
      </c>
      <c r="B17" s="45" t="s">
        <v>38</v>
      </c>
      <c r="C17" s="43">
        <v>45849</v>
      </c>
    </row>
    <row r="18" spans="1:3" x14ac:dyDescent="0.2">
      <c r="A18" s="46">
        <v>17</v>
      </c>
      <c r="B18" s="46" t="s">
        <v>39</v>
      </c>
      <c r="C18" s="43">
        <v>46009</v>
      </c>
    </row>
    <row r="19" spans="1:3" x14ac:dyDescent="0.2">
      <c r="A19" s="46">
        <v>18</v>
      </c>
      <c r="B19" s="45" t="s">
        <v>40</v>
      </c>
      <c r="C19" s="43">
        <v>46009</v>
      </c>
    </row>
    <row r="20" spans="1:3" x14ac:dyDescent="0.2">
      <c r="A20" s="46">
        <v>19</v>
      </c>
      <c r="B20" s="45" t="s">
        <v>41</v>
      </c>
      <c r="C20" s="43">
        <v>46009</v>
      </c>
    </row>
    <row r="21" spans="1:3" x14ac:dyDescent="0.2">
      <c r="A21" s="45">
        <v>20</v>
      </c>
      <c r="B21" s="45" t="s">
        <v>42</v>
      </c>
      <c r="C21" s="43">
        <v>46009</v>
      </c>
    </row>
    <row r="22" spans="1:3" x14ac:dyDescent="0.2">
      <c r="A22" s="47">
        <v>21</v>
      </c>
      <c r="B22" s="47" t="s">
        <v>43</v>
      </c>
      <c r="C22" s="43">
        <v>46009</v>
      </c>
    </row>
    <row r="23" spans="1:3" x14ac:dyDescent="0.2">
      <c r="A23" s="45">
        <v>22</v>
      </c>
      <c r="B23" s="45" t="s">
        <v>44</v>
      </c>
      <c r="C23" s="43">
        <v>46009</v>
      </c>
    </row>
  </sheetData>
  <mergeCells count="1">
    <mergeCell ref="A1:D1"/>
  </mergeCells>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L145"/>
  <sheetViews>
    <sheetView zoomScale="70" zoomScaleNormal="70" workbookViewId="0">
      <pane xSplit="1" ySplit="2" topLeftCell="B3" activePane="bottomRight" state="frozen"/>
      <selection pane="topRight" activeCell="B1" sqref="B1"/>
      <selection pane="bottomLeft" activeCell="A2" sqref="A2"/>
      <selection pane="bottomRight" activeCell="A4" sqref="A4"/>
    </sheetView>
  </sheetViews>
  <sheetFormatPr defaultColWidth="8.75" defaultRowHeight="14.25" x14ac:dyDescent="0.2"/>
  <cols>
    <col min="1" max="1" width="38.625" style="4" customWidth="1"/>
    <col min="2" max="2" width="20.375" style="5" customWidth="1"/>
    <col min="3" max="3" width="14.75" style="2" bestFit="1" customWidth="1"/>
    <col min="4" max="4" width="14.25" style="2" bestFit="1" customWidth="1"/>
    <col min="5" max="5" width="17.875" style="2" customWidth="1"/>
    <col min="6" max="6" width="10.625" style="2" customWidth="1"/>
    <col min="7" max="7" width="46.75" style="2" customWidth="1"/>
    <col min="8" max="8" width="11.875" style="2" customWidth="1"/>
    <col min="9" max="9" width="11.625" style="2" customWidth="1"/>
    <col min="10" max="10" width="90.625" style="2" customWidth="1"/>
    <col min="11" max="11" width="12.625" style="3" customWidth="1"/>
    <col min="12" max="12" width="16.5" style="2" customWidth="1"/>
    <col min="13" max="1020" width="10.625" style="2" customWidth="1"/>
    <col min="1021" max="16384" width="8.75" style="2"/>
  </cols>
  <sheetData>
    <row r="1" spans="1:12" s="1" customFormat="1" ht="15" x14ac:dyDescent="0.2">
      <c r="A1" s="81" t="str">
        <f>CONCATENATE("Informatieobjecttypen in ",Zaaktypecatalogus!B3," versie ",Zaaktypecatalogus!B4)</f>
        <v>Informatieobjecttypen in Zaaktypecatalogus Omgevingswet versie 1.9</v>
      </c>
      <c r="B1" s="82"/>
      <c r="C1" s="83"/>
      <c r="D1" s="51"/>
      <c r="E1" s="51"/>
      <c r="F1" s="51"/>
      <c r="G1" s="51"/>
      <c r="H1" s="51"/>
      <c r="I1" s="51"/>
      <c r="J1" s="51"/>
      <c r="K1" s="52"/>
      <c r="L1" s="51"/>
    </row>
    <row r="2" spans="1:12" s="1" customFormat="1" ht="38.25" x14ac:dyDescent="0.2">
      <c r="A2" s="53" t="s">
        <v>45</v>
      </c>
      <c r="B2" s="53" t="s">
        <v>46</v>
      </c>
      <c r="C2" s="53" t="s">
        <v>47</v>
      </c>
      <c r="D2" s="53" t="s">
        <v>48</v>
      </c>
      <c r="E2" s="53" t="s">
        <v>49</v>
      </c>
      <c r="F2" s="53" t="s">
        <v>50</v>
      </c>
      <c r="G2" s="53" t="s">
        <v>51</v>
      </c>
      <c r="H2" s="53" t="s">
        <v>52</v>
      </c>
      <c r="I2" s="53" t="s">
        <v>53</v>
      </c>
      <c r="J2" s="53" t="s">
        <v>54</v>
      </c>
      <c r="K2" s="54" t="s">
        <v>55</v>
      </c>
      <c r="L2" s="53" t="s">
        <v>56</v>
      </c>
    </row>
    <row r="3" spans="1:12" x14ac:dyDescent="0.2">
      <c r="A3" s="49" t="s">
        <v>57</v>
      </c>
      <c r="B3" s="49" t="s">
        <v>57</v>
      </c>
      <c r="C3" s="49" t="s">
        <v>58</v>
      </c>
      <c r="D3" s="49" t="s">
        <v>59</v>
      </c>
      <c r="E3" s="49" t="s">
        <v>60</v>
      </c>
      <c r="F3" s="55" t="s">
        <v>59</v>
      </c>
      <c r="G3" s="55" t="s">
        <v>59</v>
      </c>
      <c r="H3" s="49" t="s">
        <v>59</v>
      </c>
      <c r="I3" s="49" t="s">
        <v>59</v>
      </c>
      <c r="J3" s="49" t="s">
        <v>61</v>
      </c>
      <c r="K3" s="56">
        <v>1</v>
      </c>
      <c r="L3" s="55" t="s">
        <v>59</v>
      </c>
    </row>
    <row r="4" spans="1:12" ht="102" x14ac:dyDescent="0.2">
      <c r="A4" s="49" t="s">
        <v>62</v>
      </c>
      <c r="B4" s="49" t="s">
        <v>62</v>
      </c>
      <c r="C4" s="49" t="s">
        <v>58</v>
      </c>
      <c r="D4" s="50" t="s">
        <v>59</v>
      </c>
      <c r="E4" s="49" t="s">
        <v>60</v>
      </c>
      <c r="F4" s="50" t="s">
        <v>59</v>
      </c>
      <c r="G4" s="49" t="s">
        <v>63</v>
      </c>
      <c r="H4" s="50" t="s">
        <v>59</v>
      </c>
      <c r="I4" s="50" t="s">
        <v>59</v>
      </c>
      <c r="J4" s="49" t="s">
        <v>64</v>
      </c>
      <c r="K4" s="57">
        <v>1</v>
      </c>
      <c r="L4" s="55" t="s">
        <v>59</v>
      </c>
    </row>
    <row r="5" spans="1:12" ht="63.75" x14ac:dyDescent="0.2">
      <c r="A5" s="49" t="s">
        <v>65</v>
      </c>
      <c r="B5" s="49" t="s">
        <v>65</v>
      </c>
      <c r="C5" s="49" t="s">
        <v>66</v>
      </c>
      <c r="D5" s="50" t="s">
        <v>59</v>
      </c>
      <c r="E5" s="49" t="s">
        <v>67</v>
      </c>
      <c r="F5" s="50" t="s">
        <v>59</v>
      </c>
      <c r="G5" s="49" t="s">
        <v>68</v>
      </c>
      <c r="H5" s="50" t="s">
        <v>59</v>
      </c>
      <c r="I5" s="50" t="s">
        <v>59</v>
      </c>
      <c r="J5" s="49" t="s">
        <v>69</v>
      </c>
      <c r="K5" s="57">
        <v>2</v>
      </c>
      <c r="L5" s="55" t="s">
        <v>59</v>
      </c>
    </row>
    <row r="6" spans="1:12" ht="63.75" x14ac:dyDescent="0.2">
      <c r="A6" s="49" t="s">
        <v>70</v>
      </c>
      <c r="B6" s="50" t="s">
        <v>71</v>
      </c>
      <c r="C6" s="50" t="s">
        <v>71</v>
      </c>
      <c r="D6" s="50" t="s">
        <v>59</v>
      </c>
      <c r="E6" s="49" t="s">
        <v>67</v>
      </c>
      <c r="F6" s="50" t="s">
        <v>59</v>
      </c>
      <c r="G6" s="49" t="s">
        <v>72</v>
      </c>
      <c r="H6" s="50" t="s">
        <v>59</v>
      </c>
      <c r="I6" s="50" t="s">
        <v>59</v>
      </c>
      <c r="J6" s="70" t="s">
        <v>73</v>
      </c>
      <c r="K6" s="72">
        <v>9</v>
      </c>
      <c r="L6" s="59"/>
    </row>
    <row r="7" spans="1:12" ht="38.25" x14ac:dyDescent="0.2">
      <c r="A7" s="49" t="s">
        <v>74</v>
      </c>
      <c r="B7" s="49" t="s">
        <v>58</v>
      </c>
      <c r="C7" s="49" t="s">
        <v>58</v>
      </c>
      <c r="D7" s="50" t="s">
        <v>59</v>
      </c>
      <c r="E7" s="49" t="s">
        <v>67</v>
      </c>
      <c r="F7" s="50" t="s">
        <v>59</v>
      </c>
      <c r="G7" s="49" t="s">
        <v>75</v>
      </c>
      <c r="H7" s="50" t="s">
        <v>59</v>
      </c>
      <c r="I7" s="50" t="s">
        <v>59</v>
      </c>
      <c r="J7" s="67" t="s">
        <v>76</v>
      </c>
      <c r="K7" s="73">
        <v>8</v>
      </c>
      <c r="L7" s="59" t="s">
        <v>59</v>
      </c>
    </row>
    <row r="8" spans="1:12" ht="38.25" x14ac:dyDescent="0.2">
      <c r="A8" s="49" t="s">
        <v>77</v>
      </c>
      <c r="B8" s="49" t="s">
        <v>58</v>
      </c>
      <c r="C8" s="49" t="s">
        <v>58</v>
      </c>
      <c r="D8" s="50" t="s">
        <v>59</v>
      </c>
      <c r="E8" s="49" t="s">
        <v>67</v>
      </c>
      <c r="F8" s="50" t="s">
        <v>59</v>
      </c>
      <c r="G8" s="49" t="s">
        <v>78</v>
      </c>
      <c r="H8" s="50" t="s">
        <v>59</v>
      </c>
      <c r="I8" s="50" t="s">
        <v>59</v>
      </c>
      <c r="J8" s="49" t="s">
        <v>79</v>
      </c>
      <c r="K8" s="57">
        <v>1</v>
      </c>
      <c r="L8" s="59" t="s">
        <v>59</v>
      </c>
    </row>
    <row r="9" spans="1:12" ht="230.25" customHeight="1" x14ac:dyDescent="0.2">
      <c r="A9" s="49" t="s">
        <v>80</v>
      </c>
      <c r="B9" s="49" t="s">
        <v>80</v>
      </c>
      <c r="C9" s="49" t="s">
        <v>80</v>
      </c>
      <c r="D9" s="50" t="s">
        <v>59</v>
      </c>
      <c r="E9" s="49" t="s">
        <v>67</v>
      </c>
      <c r="F9" s="50" t="s">
        <v>59</v>
      </c>
      <c r="G9" s="49" t="s">
        <v>81</v>
      </c>
      <c r="H9" s="50" t="s">
        <v>59</v>
      </c>
      <c r="I9" s="50" t="s">
        <v>59</v>
      </c>
      <c r="J9" s="74" t="s">
        <v>82</v>
      </c>
      <c r="K9" s="73">
        <v>31</v>
      </c>
      <c r="L9" s="55" t="s">
        <v>59</v>
      </c>
    </row>
    <row r="10" spans="1:12" ht="25.5" x14ac:dyDescent="0.2">
      <c r="A10" s="49" t="s">
        <v>83</v>
      </c>
      <c r="B10" s="49" t="s">
        <v>80</v>
      </c>
      <c r="C10" s="49" t="s">
        <v>80</v>
      </c>
      <c r="D10" s="50" t="s">
        <v>59</v>
      </c>
      <c r="E10" s="49" t="s">
        <v>67</v>
      </c>
      <c r="F10" s="50" t="s">
        <v>59</v>
      </c>
      <c r="G10" s="49" t="s">
        <v>84</v>
      </c>
      <c r="H10" s="50" t="s">
        <v>59</v>
      </c>
      <c r="I10" s="50" t="s">
        <v>59</v>
      </c>
      <c r="J10" s="49" t="s">
        <v>85</v>
      </c>
      <c r="K10" s="57">
        <v>1</v>
      </c>
      <c r="L10" s="59" t="s">
        <v>59</v>
      </c>
    </row>
    <row r="11" spans="1:12" ht="140.25" x14ac:dyDescent="0.2">
      <c r="A11" s="49" t="s">
        <v>86</v>
      </c>
      <c r="B11" s="49" t="s">
        <v>65</v>
      </c>
      <c r="C11" s="49" t="s">
        <v>66</v>
      </c>
      <c r="D11" s="50" t="s">
        <v>59</v>
      </c>
      <c r="E11" s="49" t="s">
        <v>67</v>
      </c>
      <c r="F11" s="50" t="s">
        <v>59</v>
      </c>
      <c r="G11" s="49" t="s">
        <v>87</v>
      </c>
      <c r="H11" s="50" t="s">
        <v>59</v>
      </c>
      <c r="I11" s="50" t="s">
        <v>59</v>
      </c>
      <c r="J11" s="70" t="s">
        <v>88</v>
      </c>
      <c r="K11" s="73">
        <v>30</v>
      </c>
      <c r="L11" s="59" t="s">
        <v>59</v>
      </c>
    </row>
    <row r="12" spans="1:12" ht="25.5" x14ac:dyDescent="0.2">
      <c r="A12" s="49" t="s">
        <v>89</v>
      </c>
      <c r="B12" s="50" t="s">
        <v>71</v>
      </c>
      <c r="C12" s="50" t="s">
        <v>71</v>
      </c>
      <c r="D12" s="50" t="s">
        <v>59</v>
      </c>
      <c r="E12" s="49" t="s">
        <v>67</v>
      </c>
      <c r="F12" s="50" t="s">
        <v>59</v>
      </c>
      <c r="G12" s="49" t="s">
        <v>90</v>
      </c>
      <c r="H12" s="50" t="s">
        <v>59</v>
      </c>
      <c r="I12" s="50" t="s">
        <v>59</v>
      </c>
      <c r="J12" s="49" t="s">
        <v>91</v>
      </c>
      <c r="K12" s="57">
        <v>1</v>
      </c>
      <c r="L12" s="59" t="s">
        <v>59</v>
      </c>
    </row>
    <row r="13" spans="1:12" ht="51" x14ac:dyDescent="0.2">
      <c r="A13" s="49" t="s">
        <v>92</v>
      </c>
      <c r="B13" s="49" t="s">
        <v>93</v>
      </c>
      <c r="C13" s="49" t="s">
        <v>94</v>
      </c>
      <c r="D13" s="50" t="s">
        <v>59</v>
      </c>
      <c r="E13" s="49" t="s">
        <v>67</v>
      </c>
      <c r="F13" s="50" t="s">
        <v>59</v>
      </c>
      <c r="G13" s="49" t="s">
        <v>95</v>
      </c>
      <c r="H13" s="50" t="s">
        <v>59</v>
      </c>
      <c r="I13" s="50" t="s">
        <v>59</v>
      </c>
      <c r="J13" s="70" t="s">
        <v>96</v>
      </c>
      <c r="K13" s="57">
        <v>2</v>
      </c>
      <c r="L13" s="59" t="s">
        <v>59</v>
      </c>
    </row>
    <row r="14" spans="1:12" ht="25.5" x14ac:dyDescent="0.2">
      <c r="A14" s="49" t="s">
        <v>97</v>
      </c>
      <c r="B14" s="49" t="s">
        <v>71</v>
      </c>
      <c r="C14" s="49" t="s">
        <v>71</v>
      </c>
      <c r="D14" s="50"/>
      <c r="E14" s="49" t="s">
        <v>67</v>
      </c>
      <c r="F14" s="50"/>
      <c r="G14" s="49" t="s">
        <v>98</v>
      </c>
      <c r="H14" s="61">
        <v>44602</v>
      </c>
      <c r="I14" s="50"/>
      <c r="J14" s="49" t="s">
        <v>99</v>
      </c>
      <c r="K14" s="57"/>
      <c r="L14" s="59"/>
    </row>
    <row r="15" spans="1:12" ht="25.5" x14ac:dyDescent="0.2">
      <c r="A15" s="62" t="s">
        <v>100</v>
      </c>
      <c r="B15" s="49" t="s">
        <v>101</v>
      </c>
      <c r="C15" s="49" t="s">
        <v>101</v>
      </c>
      <c r="D15" s="50"/>
      <c r="E15" s="49" t="s">
        <v>67</v>
      </c>
      <c r="F15" s="50"/>
      <c r="G15" s="49" t="s">
        <v>102</v>
      </c>
      <c r="H15" s="61">
        <v>44602</v>
      </c>
      <c r="I15" s="50"/>
      <c r="J15" s="49" t="s">
        <v>99</v>
      </c>
      <c r="K15" s="57"/>
      <c r="L15" s="59"/>
    </row>
    <row r="16" spans="1:12" ht="25.5" x14ac:dyDescent="0.2">
      <c r="A16" s="49" t="s">
        <v>103</v>
      </c>
      <c r="B16" s="49" t="s">
        <v>58</v>
      </c>
      <c r="C16" s="49" t="s">
        <v>58</v>
      </c>
      <c r="D16" s="50" t="s">
        <v>59</v>
      </c>
      <c r="E16" s="49" t="s">
        <v>67</v>
      </c>
      <c r="F16" s="50" t="s">
        <v>59</v>
      </c>
      <c r="G16" s="49" t="s">
        <v>104</v>
      </c>
      <c r="H16" s="50" t="s">
        <v>59</v>
      </c>
      <c r="I16" s="50" t="s">
        <v>59</v>
      </c>
      <c r="J16" s="67" t="s">
        <v>105</v>
      </c>
      <c r="K16" s="73">
        <v>2</v>
      </c>
      <c r="L16" s="59" t="s">
        <v>59</v>
      </c>
    </row>
    <row r="17" spans="1:12" ht="63.75" x14ac:dyDescent="0.2">
      <c r="A17" s="49" t="s">
        <v>106</v>
      </c>
      <c r="B17" s="50" t="s">
        <v>71</v>
      </c>
      <c r="C17" s="49" t="s">
        <v>71</v>
      </c>
      <c r="D17" s="50" t="s">
        <v>59</v>
      </c>
      <c r="E17" s="49" t="s">
        <v>67</v>
      </c>
      <c r="F17" s="50" t="s">
        <v>59</v>
      </c>
      <c r="G17" s="49" t="s">
        <v>107</v>
      </c>
      <c r="H17" s="50" t="s">
        <v>59</v>
      </c>
      <c r="I17" s="50" t="s">
        <v>59</v>
      </c>
      <c r="J17" s="67" t="s">
        <v>108</v>
      </c>
      <c r="K17" s="73">
        <v>1</v>
      </c>
      <c r="L17" s="59" t="s">
        <v>59</v>
      </c>
    </row>
    <row r="18" spans="1:12" ht="25.5" x14ac:dyDescent="0.2">
      <c r="A18" s="62" t="s">
        <v>109</v>
      </c>
      <c r="B18" s="50" t="s">
        <v>110</v>
      </c>
      <c r="C18" s="49" t="s">
        <v>110</v>
      </c>
      <c r="D18" s="50"/>
      <c r="E18" s="49" t="s">
        <v>67</v>
      </c>
      <c r="F18" s="50"/>
      <c r="G18" s="49" t="s">
        <v>111</v>
      </c>
      <c r="H18" s="61">
        <v>44602</v>
      </c>
      <c r="I18" s="50"/>
      <c r="J18" s="49" t="s">
        <v>99</v>
      </c>
      <c r="K18" s="57">
        <v>1</v>
      </c>
      <c r="L18" s="59"/>
    </row>
    <row r="19" spans="1:12" ht="76.5" x14ac:dyDescent="0.2">
      <c r="A19" s="49" t="s">
        <v>112</v>
      </c>
      <c r="B19" s="49" t="s">
        <v>113</v>
      </c>
      <c r="C19" s="49" t="s">
        <v>114</v>
      </c>
      <c r="D19" s="50" t="s">
        <v>59</v>
      </c>
      <c r="E19" s="49" t="s">
        <v>67</v>
      </c>
      <c r="F19" s="50" t="s">
        <v>59</v>
      </c>
      <c r="G19" s="49" t="s">
        <v>115</v>
      </c>
      <c r="H19" s="50" t="s">
        <v>59</v>
      </c>
      <c r="I19" s="50" t="s">
        <v>59</v>
      </c>
      <c r="J19" s="49" t="s">
        <v>116</v>
      </c>
      <c r="K19" s="57">
        <v>1</v>
      </c>
      <c r="L19" s="59" t="s">
        <v>59</v>
      </c>
    </row>
    <row r="20" spans="1:12" ht="25.5" x14ac:dyDescent="0.2">
      <c r="A20" s="49" t="s">
        <v>117</v>
      </c>
      <c r="B20" s="49" t="s">
        <v>58</v>
      </c>
      <c r="C20" s="49" t="s">
        <v>58</v>
      </c>
      <c r="D20" s="50"/>
      <c r="E20" s="49" t="s">
        <v>67</v>
      </c>
      <c r="F20" s="50"/>
      <c r="G20" s="49" t="s">
        <v>118</v>
      </c>
      <c r="H20" s="61">
        <v>45849</v>
      </c>
      <c r="I20" s="50"/>
      <c r="J20" s="49" t="s">
        <v>119</v>
      </c>
      <c r="K20" s="57">
        <v>1</v>
      </c>
      <c r="L20" s="59"/>
    </row>
    <row r="21" spans="1:12" ht="63.75" x14ac:dyDescent="0.2">
      <c r="A21" s="49" t="s">
        <v>120</v>
      </c>
      <c r="B21" s="49" t="s">
        <v>58</v>
      </c>
      <c r="C21" s="49" t="s">
        <v>58</v>
      </c>
      <c r="D21" s="50" t="s">
        <v>59</v>
      </c>
      <c r="E21" s="49" t="s">
        <v>67</v>
      </c>
      <c r="F21" s="50" t="s">
        <v>59</v>
      </c>
      <c r="G21" s="49" t="s">
        <v>121</v>
      </c>
      <c r="H21" s="50" t="s">
        <v>59</v>
      </c>
      <c r="I21" s="50" t="s">
        <v>59</v>
      </c>
      <c r="J21" s="60" t="s">
        <v>122</v>
      </c>
      <c r="K21" s="57">
        <v>12</v>
      </c>
      <c r="L21" s="59" t="s">
        <v>59</v>
      </c>
    </row>
    <row r="22" spans="1:12" s="92" customFormat="1" ht="25.5" x14ac:dyDescent="0.2">
      <c r="A22" s="87" t="s">
        <v>123</v>
      </c>
      <c r="B22" s="87" t="s">
        <v>113</v>
      </c>
      <c r="C22" s="87" t="s">
        <v>58</v>
      </c>
      <c r="D22" s="88"/>
      <c r="E22" s="87" t="s">
        <v>67</v>
      </c>
      <c r="F22" s="88"/>
      <c r="G22" s="87" t="s">
        <v>124</v>
      </c>
      <c r="H22" s="88"/>
      <c r="I22" s="88"/>
      <c r="J22" s="89" t="s">
        <v>119</v>
      </c>
      <c r="K22" s="90">
        <v>1</v>
      </c>
      <c r="L22" s="91"/>
    </row>
    <row r="23" spans="1:12" ht="25.5" x14ac:dyDescent="0.2">
      <c r="A23" s="49" t="s">
        <v>125</v>
      </c>
      <c r="B23" s="49" t="s">
        <v>113</v>
      </c>
      <c r="C23" s="49" t="s">
        <v>114</v>
      </c>
      <c r="D23" s="50" t="s">
        <v>59</v>
      </c>
      <c r="E23" s="49" t="s">
        <v>67</v>
      </c>
      <c r="F23" s="50" t="s">
        <v>59</v>
      </c>
      <c r="G23" s="49" t="s">
        <v>126</v>
      </c>
      <c r="H23" s="50" t="s">
        <v>59</v>
      </c>
      <c r="I23" s="50" t="s">
        <v>59</v>
      </c>
      <c r="J23" s="49" t="s">
        <v>116</v>
      </c>
      <c r="K23" s="57">
        <v>1</v>
      </c>
      <c r="L23" s="59" t="s">
        <v>59</v>
      </c>
    </row>
    <row r="24" spans="1:12" ht="63.75" x14ac:dyDescent="0.2">
      <c r="A24" s="49" t="s">
        <v>127</v>
      </c>
      <c r="B24" s="49" t="s">
        <v>66</v>
      </c>
      <c r="C24" s="49" t="s">
        <v>66</v>
      </c>
      <c r="D24" s="50" t="s">
        <v>59</v>
      </c>
      <c r="E24" s="49" t="s">
        <v>67</v>
      </c>
      <c r="F24" s="50" t="s">
        <v>59</v>
      </c>
      <c r="G24" s="49" t="s">
        <v>128</v>
      </c>
      <c r="H24" s="50" t="s">
        <v>59</v>
      </c>
      <c r="I24" s="50" t="s">
        <v>59</v>
      </c>
      <c r="J24" s="68" t="s">
        <v>129</v>
      </c>
      <c r="K24" s="57">
        <v>13</v>
      </c>
      <c r="L24" s="59" t="s">
        <v>59</v>
      </c>
    </row>
    <row r="25" spans="1:12" ht="25.5" x14ac:dyDescent="0.2">
      <c r="A25" s="49" t="s">
        <v>130</v>
      </c>
      <c r="B25" s="49" t="s">
        <v>130</v>
      </c>
      <c r="C25" s="49" t="s">
        <v>66</v>
      </c>
      <c r="D25" s="50" t="s">
        <v>59</v>
      </c>
      <c r="E25" s="49" t="s">
        <v>67</v>
      </c>
      <c r="F25" s="50" t="s">
        <v>59</v>
      </c>
      <c r="G25" s="49" t="s">
        <v>131</v>
      </c>
      <c r="H25" s="50" t="s">
        <v>59</v>
      </c>
      <c r="I25" s="50" t="s">
        <v>59</v>
      </c>
      <c r="J25" s="49" t="s">
        <v>79</v>
      </c>
      <c r="K25" s="57">
        <v>1</v>
      </c>
      <c r="L25" s="59" t="s">
        <v>59</v>
      </c>
    </row>
    <row r="26" spans="1:12" ht="51" x14ac:dyDescent="0.2">
      <c r="A26" s="49" t="s">
        <v>132</v>
      </c>
      <c r="B26" s="49" t="s">
        <v>133</v>
      </c>
      <c r="C26" s="49" t="s">
        <v>134</v>
      </c>
      <c r="D26" s="50" t="s">
        <v>59</v>
      </c>
      <c r="E26" s="49" t="s">
        <v>60</v>
      </c>
      <c r="F26" s="50" t="s">
        <v>59</v>
      </c>
      <c r="G26" s="49" t="s">
        <v>135</v>
      </c>
      <c r="H26" s="50" t="s">
        <v>59</v>
      </c>
      <c r="I26" s="50" t="s">
        <v>59</v>
      </c>
      <c r="J26" s="67" t="s">
        <v>105</v>
      </c>
      <c r="K26" s="73">
        <v>2</v>
      </c>
      <c r="L26" s="49" t="s">
        <v>136</v>
      </c>
    </row>
    <row r="27" spans="1:12" ht="38.25" x14ac:dyDescent="0.2">
      <c r="A27" s="49" t="s">
        <v>137</v>
      </c>
      <c r="B27" s="49" t="s">
        <v>133</v>
      </c>
      <c r="C27" s="49" t="s">
        <v>134</v>
      </c>
      <c r="D27" s="50" t="s">
        <v>59</v>
      </c>
      <c r="E27" s="49" t="s">
        <v>60</v>
      </c>
      <c r="F27" s="50" t="s">
        <v>59</v>
      </c>
      <c r="G27" s="49" t="s">
        <v>138</v>
      </c>
      <c r="H27" s="50" t="s">
        <v>59</v>
      </c>
      <c r="I27" s="50" t="s">
        <v>59</v>
      </c>
      <c r="J27" s="49" t="s">
        <v>139</v>
      </c>
      <c r="K27" s="57">
        <v>2</v>
      </c>
      <c r="L27" s="49" t="s">
        <v>137</v>
      </c>
    </row>
    <row r="28" spans="1:12" ht="25.5" x14ac:dyDescent="0.2">
      <c r="A28" s="49" t="s">
        <v>140</v>
      </c>
      <c r="B28" s="49" t="s">
        <v>133</v>
      </c>
      <c r="C28" s="49" t="s">
        <v>134</v>
      </c>
      <c r="D28" s="50"/>
      <c r="E28" s="49" t="s">
        <v>60</v>
      </c>
      <c r="F28" s="50"/>
      <c r="G28" s="49" t="s">
        <v>141</v>
      </c>
      <c r="H28" s="50"/>
      <c r="I28" s="50"/>
      <c r="J28" s="49" t="s">
        <v>142</v>
      </c>
      <c r="K28" s="57">
        <v>1</v>
      </c>
      <c r="L28" s="49"/>
    </row>
    <row r="29" spans="1:12" ht="51" x14ac:dyDescent="0.2">
      <c r="A29" s="49" t="s">
        <v>143</v>
      </c>
      <c r="B29" s="49" t="s">
        <v>133</v>
      </c>
      <c r="C29" s="49" t="s">
        <v>134</v>
      </c>
      <c r="D29" s="50" t="s">
        <v>59</v>
      </c>
      <c r="E29" s="49" t="s">
        <v>60</v>
      </c>
      <c r="F29" s="50" t="s">
        <v>59</v>
      </c>
      <c r="G29" s="49" t="s">
        <v>144</v>
      </c>
      <c r="H29" s="50" t="s">
        <v>59</v>
      </c>
      <c r="I29" s="50" t="s">
        <v>59</v>
      </c>
      <c r="J29" s="67" t="s">
        <v>145</v>
      </c>
      <c r="K29" s="69">
        <v>3</v>
      </c>
      <c r="L29" s="49" t="s">
        <v>146</v>
      </c>
    </row>
    <row r="30" spans="1:12" ht="51" x14ac:dyDescent="0.2">
      <c r="A30" s="49" t="s">
        <v>147</v>
      </c>
      <c r="B30" s="49" t="s">
        <v>133</v>
      </c>
      <c r="C30" s="49" t="s">
        <v>134</v>
      </c>
      <c r="D30" s="50" t="s">
        <v>59</v>
      </c>
      <c r="E30" s="49" t="s">
        <v>60</v>
      </c>
      <c r="F30" s="50" t="s">
        <v>59</v>
      </c>
      <c r="G30" s="49" t="s">
        <v>148</v>
      </c>
      <c r="H30" s="50" t="s">
        <v>59</v>
      </c>
      <c r="I30" s="50" t="s">
        <v>59</v>
      </c>
      <c r="J30" s="49" t="s">
        <v>149</v>
      </c>
      <c r="K30" s="57">
        <v>1</v>
      </c>
      <c r="L30" s="59" t="s">
        <v>59</v>
      </c>
    </row>
    <row r="31" spans="1:12" ht="63.75" x14ac:dyDescent="0.2">
      <c r="A31" s="49" t="s">
        <v>150</v>
      </c>
      <c r="B31" s="49" t="s">
        <v>133</v>
      </c>
      <c r="C31" s="49" t="s">
        <v>71</v>
      </c>
      <c r="D31" s="50" t="s">
        <v>59</v>
      </c>
      <c r="E31" s="49" t="s">
        <v>67</v>
      </c>
      <c r="F31" s="50" t="s">
        <v>59</v>
      </c>
      <c r="G31" s="49" t="s">
        <v>151</v>
      </c>
      <c r="H31" s="50" t="s">
        <v>59</v>
      </c>
      <c r="I31" s="50" t="s">
        <v>59</v>
      </c>
      <c r="J31" s="49" t="s">
        <v>69</v>
      </c>
      <c r="K31" s="57">
        <v>2</v>
      </c>
      <c r="L31" s="55" t="s">
        <v>59</v>
      </c>
    </row>
    <row r="32" spans="1:12" ht="38.25" x14ac:dyDescent="0.2">
      <c r="A32" s="49" t="s">
        <v>152</v>
      </c>
      <c r="B32" s="49" t="s">
        <v>133</v>
      </c>
      <c r="C32" s="49" t="s">
        <v>134</v>
      </c>
      <c r="D32" s="50" t="s">
        <v>59</v>
      </c>
      <c r="E32" s="49" t="s">
        <v>60</v>
      </c>
      <c r="F32" s="50" t="s">
        <v>59</v>
      </c>
      <c r="G32" s="71" t="s">
        <v>479</v>
      </c>
      <c r="H32" s="50" t="s">
        <v>59</v>
      </c>
      <c r="I32" s="50" t="s">
        <v>59</v>
      </c>
      <c r="J32" s="49" t="s">
        <v>69</v>
      </c>
      <c r="K32" s="57">
        <v>2</v>
      </c>
      <c r="L32" s="49" t="s">
        <v>153</v>
      </c>
    </row>
    <row r="33" spans="1:12" ht="38.25" x14ac:dyDescent="0.2">
      <c r="A33" s="49" t="s">
        <v>154</v>
      </c>
      <c r="B33" s="49" t="s">
        <v>133</v>
      </c>
      <c r="C33" s="49" t="s">
        <v>134</v>
      </c>
      <c r="D33" s="50" t="s">
        <v>59</v>
      </c>
      <c r="E33" s="49" t="s">
        <v>67</v>
      </c>
      <c r="F33" s="50" t="s">
        <v>59</v>
      </c>
      <c r="G33" s="49" t="s">
        <v>155</v>
      </c>
      <c r="H33" s="50" t="s">
        <v>59</v>
      </c>
      <c r="I33" s="50" t="s">
        <v>59</v>
      </c>
      <c r="J33" s="49" t="s">
        <v>156</v>
      </c>
      <c r="K33" s="57">
        <v>1</v>
      </c>
      <c r="L33" s="49" t="s">
        <v>157</v>
      </c>
    </row>
    <row r="34" spans="1:12" ht="51" x14ac:dyDescent="0.2">
      <c r="A34" s="49" t="s">
        <v>158</v>
      </c>
      <c r="B34" s="49" t="s">
        <v>133</v>
      </c>
      <c r="C34" s="49" t="s">
        <v>134</v>
      </c>
      <c r="D34" s="50" t="s">
        <v>59</v>
      </c>
      <c r="E34" s="49" t="s">
        <v>60</v>
      </c>
      <c r="F34" s="50" t="s">
        <v>59</v>
      </c>
      <c r="G34" s="49" t="s">
        <v>159</v>
      </c>
      <c r="H34" s="50" t="s">
        <v>59</v>
      </c>
      <c r="I34" s="50" t="s">
        <v>59</v>
      </c>
      <c r="J34" s="67" t="s">
        <v>145</v>
      </c>
      <c r="K34" s="69">
        <v>3</v>
      </c>
      <c r="L34" s="49" t="s">
        <v>160</v>
      </c>
    </row>
    <row r="35" spans="1:12" ht="51" x14ac:dyDescent="0.2">
      <c r="A35" s="76" t="s">
        <v>161</v>
      </c>
      <c r="B35" s="49" t="s">
        <v>133</v>
      </c>
      <c r="C35" s="49" t="s">
        <v>134</v>
      </c>
      <c r="D35" s="50" t="s">
        <v>59</v>
      </c>
      <c r="E35" s="49" t="s">
        <v>60</v>
      </c>
      <c r="F35" s="50" t="s">
        <v>59</v>
      </c>
      <c r="G35" s="49" t="s">
        <v>162</v>
      </c>
      <c r="H35" s="50" t="s">
        <v>59</v>
      </c>
      <c r="I35" s="50" t="s">
        <v>59</v>
      </c>
      <c r="J35" s="67" t="s">
        <v>163</v>
      </c>
      <c r="K35" s="69">
        <v>1</v>
      </c>
      <c r="L35" s="49" t="s">
        <v>164</v>
      </c>
    </row>
    <row r="36" spans="1:12" ht="51" x14ac:dyDescent="0.2">
      <c r="A36" s="75" t="s">
        <v>165</v>
      </c>
      <c r="B36" s="49" t="s">
        <v>133</v>
      </c>
      <c r="C36" s="49" t="s">
        <v>134</v>
      </c>
      <c r="D36" s="50" t="s">
        <v>59</v>
      </c>
      <c r="E36" s="49" t="s">
        <v>67</v>
      </c>
      <c r="F36" s="50" t="s">
        <v>59</v>
      </c>
      <c r="G36" s="49" t="s">
        <v>166</v>
      </c>
      <c r="H36" s="50" t="s">
        <v>59</v>
      </c>
      <c r="I36" s="50" t="s">
        <v>59</v>
      </c>
      <c r="J36" s="60" t="s">
        <v>167</v>
      </c>
      <c r="K36" s="57">
        <v>2</v>
      </c>
      <c r="L36" s="49" t="s">
        <v>168</v>
      </c>
    </row>
    <row r="37" spans="1:12" ht="38.25" x14ac:dyDescent="0.2">
      <c r="A37" s="49" t="s">
        <v>169</v>
      </c>
      <c r="B37" s="50" t="s">
        <v>134</v>
      </c>
      <c r="C37" s="50" t="s">
        <v>134</v>
      </c>
      <c r="D37" s="50" t="s">
        <v>59</v>
      </c>
      <c r="E37" s="49" t="s">
        <v>60</v>
      </c>
      <c r="F37" s="50" t="s">
        <v>59</v>
      </c>
      <c r="G37" s="49" t="s">
        <v>170</v>
      </c>
      <c r="H37" s="50" t="s">
        <v>59</v>
      </c>
      <c r="I37" s="50" t="s">
        <v>59</v>
      </c>
      <c r="J37" s="49" t="s">
        <v>171</v>
      </c>
      <c r="K37" s="57">
        <v>1</v>
      </c>
      <c r="L37" s="59" t="s">
        <v>59</v>
      </c>
    </row>
    <row r="38" spans="1:12" ht="25.5" x14ac:dyDescent="0.2">
      <c r="A38" s="49" t="s">
        <v>172</v>
      </c>
      <c r="B38" s="49" t="s">
        <v>133</v>
      </c>
      <c r="C38" s="49" t="s">
        <v>134</v>
      </c>
      <c r="D38" s="50" t="s">
        <v>59</v>
      </c>
      <c r="E38" s="49" t="s">
        <v>60</v>
      </c>
      <c r="F38" s="50" t="s">
        <v>59</v>
      </c>
      <c r="G38" s="49" t="s">
        <v>173</v>
      </c>
      <c r="H38" s="50" t="s">
        <v>59</v>
      </c>
      <c r="I38" s="50" t="s">
        <v>59</v>
      </c>
      <c r="J38" s="49" t="s">
        <v>174</v>
      </c>
      <c r="K38" s="57">
        <v>5</v>
      </c>
      <c r="L38" s="59" t="s">
        <v>59</v>
      </c>
    </row>
    <row r="39" spans="1:12" ht="25.5" x14ac:dyDescent="0.25">
      <c r="A39" s="63" t="s">
        <v>175</v>
      </c>
      <c r="B39" s="49" t="s">
        <v>133</v>
      </c>
      <c r="C39" s="49" t="s">
        <v>134</v>
      </c>
      <c r="D39" s="50"/>
      <c r="E39" s="49" t="s">
        <v>60</v>
      </c>
      <c r="F39" s="50"/>
      <c r="G39" s="49" t="s">
        <v>176</v>
      </c>
      <c r="H39" s="50"/>
      <c r="I39" s="50"/>
      <c r="J39" s="49" t="s">
        <v>142</v>
      </c>
      <c r="K39" s="57">
        <v>1</v>
      </c>
      <c r="L39" s="49"/>
    </row>
    <row r="40" spans="1:12" ht="76.5" x14ac:dyDescent="0.2">
      <c r="A40" s="49" t="s">
        <v>177</v>
      </c>
      <c r="B40" s="49" t="s">
        <v>58</v>
      </c>
      <c r="C40" s="49" t="s">
        <v>58</v>
      </c>
      <c r="D40" s="50" t="s">
        <v>59</v>
      </c>
      <c r="E40" s="49" t="s">
        <v>67</v>
      </c>
      <c r="F40" s="50" t="s">
        <v>59</v>
      </c>
      <c r="G40" s="49" t="s">
        <v>178</v>
      </c>
      <c r="H40" s="50" t="s">
        <v>59</v>
      </c>
      <c r="I40" s="50" t="s">
        <v>59</v>
      </c>
      <c r="J40" s="74" t="s">
        <v>129</v>
      </c>
      <c r="K40" s="73">
        <v>13</v>
      </c>
      <c r="L40" s="59" t="s">
        <v>59</v>
      </c>
    </row>
    <row r="41" spans="1:12" ht="63.75" x14ac:dyDescent="0.2">
      <c r="A41" s="49" t="s">
        <v>179</v>
      </c>
      <c r="B41" s="49" t="s">
        <v>179</v>
      </c>
      <c r="C41" s="50" t="s">
        <v>113</v>
      </c>
      <c r="D41" s="50" t="s">
        <v>59</v>
      </c>
      <c r="E41" s="49" t="s">
        <v>67</v>
      </c>
      <c r="F41" s="50" t="s">
        <v>59</v>
      </c>
      <c r="G41" s="49" t="s">
        <v>180</v>
      </c>
      <c r="H41" s="50" t="s">
        <v>59</v>
      </c>
      <c r="I41" s="50" t="s">
        <v>59</v>
      </c>
      <c r="J41" s="49" t="s">
        <v>61</v>
      </c>
      <c r="K41" s="57">
        <v>1</v>
      </c>
      <c r="L41" s="59" t="s">
        <v>59</v>
      </c>
    </row>
    <row r="42" spans="1:12" ht="38.25" x14ac:dyDescent="0.2">
      <c r="A42" s="49" t="s">
        <v>181</v>
      </c>
      <c r="B42" s="49" t="s">
        <v>181</v>
      </c>
      <c r="C42" s="50" t="s">
        <v>113</v>
      </c>
      <c r="D42" s="50" t="s">
        <v>59</v>
      </c>
      <c r="E42" s="49" t="s">
        <v>60</v>
      </c>
      <c r="F42" s="50" t="s">
        <v>59</v>
      </c>
      <c r="G42" s="49" t="s">
        <v>182</v>
      </c>
      <c r="H42" s="50" t="s">
        <v>59</v>
      </c>
      <c r="I42" s="50" t="s">
        <v>59</v>
      </c>
      <c r="J42" s="49" t="s">
        <v>61</v>
      </c>
      <c r="K42" s="57">
        <v>1</v>
      </c>
      <c r="L42" s="59" t="s">
        <v>59</v>
      </c>
    </row>
    <row r="43" spans="1:12" ht="25.5" x14ac:dyDescent="0.2">
      <c r="A43" s="49" t="s">
        <v>183</v>
      </c>
      <c r="B43" s="49" t="s">
        <v>94</v>
      </c>
      <c r="C43" s="49" t="s">
        <v>94</v>
      </c>
      <c r="D43" s="50" t="s">
        <v>59</v>
      </c>
      <c r="E43" s="49" t="s">
        <v>67</v>
      </c>
      <c r="F43" s="50" t="s">
        <v>59</v>
      </c>
      <c r="G43" s="49" t="s">
        <v>184</v>
      </c>
      <c r="H43" s="50" t="s">
        <v>59</v>
      </c>
      <c r="I43" s="50" t="s">
        <v>59</v>
      </c>
      <c r="J43" s="49" t="s">
        <v>61</v>
      </c>
      <c r="K43" s="57">
        <v>1</v>
      </c>
      <c r="L43" s="59" t="s">
        <v>59</v>
      </c>
    </row>
    <row r="44" spans="1:12" ht="25.5" x14ac:dyDescent="0.2">
      <c r="A44" s="49" t="s">
        <v>185</v>
      </c>
      <c r="B44" s="49" t="s">
        <v>185</v>
      </c>
      <c r="C44" s="49" t="s">
        <v>66</v>
      </c>
      <c r="D44" s="50" t="s">
        <v>59</v>
      </c>
      <c r="E44" s="49" t="s">
        <v>67</v>
      </c>
      <c r="F44" s="50" t="s">
        <v>59</v>
      </c>
      <c r="G44" s="49" t="s">
        <v>186</v>
      </c>
      <c r="H44" s="50" t="s">
        <v>59</v>
      </c>
      <c r="I44" s="50" t="s">
        <v>59</v>
      </c>
      <c r="J44" s="49" t="s">
        <v>167</v>
      </c>
      <c r="K44" s="57">
        <v>2</v>
      </c>
      <c r="L44" s="59" t="s">
        <v>59</v>
      </c>
    </row>
    <row r="45" spans="1:12" ht="76.5" x14ac:dyDescent="0.2">
      <c r="A45" s="49" t="s">
        <v>187</v>
      </c>
      <c r="B45" s="49" t="s">
        <v>187</v>
      </c>
      <c r="C45" s="50" t="s">
        <v>66</v>
      </c>
      <c r="D45" s="50" t="s">
        <v>59</v>
      </c>
      <c r="E45" s="49" t="s">
        <v>188</v>
      </c>
      <c r="F45" s="50" t="s">
        <v>59</v>
      </c>
      <c r="G45" s="49" t="s">
        <v>189</v>
      </c>
      <c r="H45" s="50" t="s">
        <v>59</v>
      </c>
      <c r="I45" s="50" t="s">
        <v>59</v>
      </c>
      <c r="J45" s="49" t="s">
        <v>190</v>
      </c>
      <c r="K45" s="57">
        <v>1</v>
      </c>
      <c r="L45" s="59" t="s">
        <v>59</v>
      </c>
    </row>
    <row r="46" spans="1:12" ht="25.5" x14ac:dyDescent="0.2">
      <c r="A46" s="49" t="s">
        <v>191</v>
      </c>
      <c r="B46" s="49" t="s">
        <v>58</v>
      </c>
      <c r="C46" s="49" t="s">
        <v>58</v>
      </c>
      <c r="D46" s="50" t="s">
        <v>59</v>
      </c>
      <c r="E46" s="49" t="s">
        <v>60</v>
      </c>
      <c r="F46" s="50" t="s">
        <v>59</v>
      </c>
      <c r="G46" s="49" t="s">
        <v>192</v>
      </c>
      <c r="H46" s="50" t="s">
        <v>59</v>
      </c>
      <c r="I46" s="50" t="s">
        <v>59</v>
      </c>
      <c r="J46" s="49" t="s">
        <v>91</v>
      </c>
      <c r="K46" s="57">
        <v>1</v>
      </c>
      <c r="L46" s="59" t="s">
        <v>59</v>
      </c>
    </row>
    <row r="47" spans="1:12" ht="51" x14ac:dyDescent="0.2">
      <c r="A47" s="49" t="s">
        <v>193</v>
      </c>
      <c r="B47" s="49" t="s">
        <v>193</v>
      </c>
      <c r="C47" s="50" t="s">
        <v>194</v>
      </c>
      <c r="D47" s="49" t="s">
        <v>195</v>
      </c>
      <c r="E47" s="49" t="s">
        <v>60</v>
      </c>
      <c r="F47" s="50" t="s">
        <v>59</v>
      </c>
      <c r="G47" s="49" t="s">
        <v>196</v>
      </c>
      <c r="H47" s="50" t="s">
        <v>59</v>
      </c>
      <c r="I47" s="50" t="s">
        <v>59</v>
      </c>
      <c r="J47" s="49" t="s">
        <v>61</v>
      </c>
      <c r="K47" s="57">
        <v>1</v>
      </c>
      <c r="L47" s="59" t="s">
        <v>59</v>
      </c>
    </row>
    <row r="48" spans="1:12" ht="51" x14ac:dyDescent="0.2">
      <c r="A48" s="49" t="s">
        <v>197</v>
      </c>
      <c r="B48" s="49" t="s">
        <v>93</v>
      </c>
      <c r="C48" s="49" t="s">
        <v>94</v>
      </c>
      <c r="D48" s="50" t="s">
        <v>59</v>
      </c>
      <c r="E48" s="49" t="s">
        <v>67</v>
      </c>
      <c r="F48" s="50" t="s">
        <v>59</v>
      </c>
      <c r="G48" s="49" t="s">
        <v>198</v>
      </c>
      <c r="H48" s="50" t="s">
        <v>59</v>
      </c>
      <c r="I48" s="50" t="s">
        <v>59</v>
      </c>
      <c r="J48" s="49" t="s">
        <v>199</v>
      </c>
      <c r="K48" s="57">
        <v>10</v>
      </c>
      <c r="L48" s="59" t="s">
        <v>59</v>
      </c>
    </row>
    <row r="49" spans="1:12" ht="38.25" x14ac:dyDescent="0.2">
      <c r="A49" s="49" t="s">
        <v>200</v>
      </c>
      <c r="B49" s="49" t="s">
        <v>200</v>
      </c>
      <c r="C49" s="49" t="s">
        <v>200</v>
      </c>
      <c r="D49" s="50" t="s">
        <v>59</v>
      </c>
      <c r="E49" s="49" t="s">
        <v>60</v>
      </c>
      <c r="F49" s="50" t="s">
        <v>59</v>
      </c>
      <c r="G49" s="49" t="s">
        <v>201</v>
      </c>
      <c r="H49" s="50" t="s">
        <v>59</v>
      </c>
      <c r="I49" s="50" t="s">
        <v>59</v>
      </c>
      <c r="J49" s="49" t="s">
        <v>64</v>
      </c>
      <c r="K49" s="57">
        <v>1</v>
      </c>
      <c r="L49" s="59" t="s">
        <v>59</v>
      </c>
    </row>
    <row r="50" spans="1:12" ht="25.5" x14ac:dyDescent="0.2">
      <c r="A50" s="49" t="s">
        <v>202</v>
      </c>
      <c r="B50" s="49" t="s">
        <v>203</v>
      </c>
      <c r="C50" s="49" t="s">
        <v>203</v>
      </c>
      <c r="D50" s="50" t="s">
        <v>59</v>
      </c>
      <c r="E50" s="49" t="s">
        <v>188</v>
      </c>
      <c r="F50" s="50" t="s">
        <v>59</v>
      </c>
      <c r="G50" s="49" t="s">
        <v>204</v>
      </c>
      <c r="H50" s="50" t="s">
        <v>59</v>
      </c>
      <c r="I50" s="50" t="s">
        <v>59</v>
      </c>
      <c r="J50" s="49" t="s">
        <v>190</v>
      </c>
      <c r="K50" s="57">
        <v>1</v>
      </c>
      <c r="L50" s="59" t="s">
        <v>59</v>
      </c>
    </row>
    <row r="51" spans="1:12" ht="38.25" x14ac:dyDescent="0.2">
      <c r="A51" s="49" t="s">
        <v>205</v>
      </c>
      <c r="B51" s="49" t="s">
        <v>206</v>
      </c>
      <c r="C51" s="49" t="s">
        <v>206</v>
      </c>
      <c r="D51" s="50"/>
      <c r="E51" s="49" t="s">
        <v>67</v>
      </c>
      <c r="F51" s="50"/>
      <c r="G51" s="49" t="s">
        <v>207</v>
      </c>
      <c r="H51" s="64">
        <v>44602</v>
      </c>
      <c r="I51" s="50"/>
      <c r="J51" s="49" t="s">
        <v>99</v>
      </c>
      <c r="K51" s="57">
        <v>1</v>
      </c>
      <c r="L51" s="59"/>
    </row>
    <row r="52" spans="1:12" ht="25.5" x14ac:dyDescent="0.2">
      <c r="A52" s="49" t="s">
        <v>208</v>
      </c>
      <c r="B52" s="49" t="s">
        <v>133</v>
      </c>
      <c r="C52" s="49" t="s">
        <v>134</v>
      </c>
      <c r="D52" s="50" t="s">
        <v>59</v>
      </c>
      <c r="E52" s="49" t="s">
        <v>60</v>
      </c>
      <c r="F52" s="50" t="s">
        <v>59</v>
      </c>
      <c r="G52" s="49" t="s">
        <v>209</v>
      </c>
      <c r="H52" s="50" t="s">
        <v>59</v>
      </c>
      <c r="I52" s="50" t="s">
        <v>59</v>
      </c>
      <c r="J52" s="49" t="s">
        <v>210</v>
      </c>
      <c r="K52" s="57">
        <v>1</v>
      </c>
      <c r="L52" s="49" t="s">
        <v>211</v>
      </c>
    </row>
    <row r="53" spans="1:12" ht="63.75" x14ac:dyDescent="0.2">
      <c r="A53" s="49" t="s">
        <v>212</v>
      </c>
      <c r="B53" s="49" t="s">
        <v>66</v>
      </c>
      <c r="C53" s="49" t="s">
        <v>66</v>
      </c>
      <c r="D53" s="49" t="s">
        <v>213</v>
      </c>
      <c r="E53" s="49" t="s">
        <v>67</v>
      </c>
      <c r="F53" s="50" t="s">
        <v>59</v>
      </c>
      <c r="G53" s="49" t="s">
        <v>214</v>
      </c>
      <c r="H53" s="50" t="s">
        <v>59</v>
      </c>
      <c r="I53" s="50" t="s">
        <v>59</v>
      </c>
      <c r="J53" s="49" t="s">
        <v>156</v>
      </c>
      <c r="K53" s="57">
        <v>1</v>
      </c>
      <c r="L53" s="59" t="s">
        <v>59</v>
      </c>
    </row>
    <row r="54" spans="1:12" ht="25.5" x14ac:dyDescent="0.2">
      <c r="A54" s="49" t="s">
        <v>215</v>
      </c>
      <c r="B54" s="49" t="s">
        <v>58</v>
      </c>
      <c r="C54" s="49" t="s">
        <v>58</v>
      </c>
      <c r="D54" s="50" t="s">
        <v>59</v>
      </c>
      <c r="E54" s="49" t="s">
        <v>67</v>
      </c>
      <c r="F54" s="50" t="s">
        <v>59</v>
      </c>
      <c r="G54" s="49" t="s">
        <v>216</v>
      </c>
      <c r="H54" s="50" t="s">
        <v>59</v>
      </c>
      <c r="I54" s="50" t="s">
        <v>59</v>
      </c>
      <c r="J54" s="49" t="s">
        <v>217</v>
      </c>
      <c r="K54" s="57">
        <v>2</v>
      </c>
      <c r="L54" s="59" t="s">
        <v>59</v>
      </c>
    </row>
    <row r="55" spans="1:12" ht="38.25" x14ac:dyDescent="0.2">
      <c r="A55" s="49" t="s">
        <v>218</v>
      </c>
      <c r="B55" s="49" t="s">
        <v>218</v>
      </c>
      <c r="C55" s="49" t="s">
        <v>58</v>
      </c>
      <c r="D55" s="50" t="s">
        <v>59</v>
      </c>
      <c r="E55" s="49" t="s">
        <v>188</v>
      </c>
      <c r="F55" s="50" t="s">
        <v>59</v>
      </c>
      <c r="G55" s="49" t="s">
        <v>219</v>
      </c>
      <c r="H55" s="50" t="s">
        <v>59</v>
      </c>
      <c r="I55" s="50" t="s">
        <v>59</v>
      </c>
      <c r="J55" s="49" t="s">
        <v>190</v>
      </c>
      <c r="K55" s="57">
        <v>1</v>
      </c>
      <c r="L55" s="59" t="s">
        <v>59</v>
      </c>
    </row>
    <row r="56" spans="1:12" ht="38.25" x14ac:dyDescent="0.2">
      <c r="A56" s="49" t="s">
        <v>220</v>
      </c>
      <c r="B56" s="49" t="s">
        <v>114</v>
      </c>
      <c r="C56" s="49" t="s">
        <v>114</v>
      </c>
      <c r="D56" s="50" t="s">
        <v>59</v>
      </c>
      <c r="E56" s="49" t="s">
        <v>67</v>
      </c>
      <c r="F56" s="50" t="s">
        <v>59</v>
      </c>
      <c r="G56" s="49" t="s">
        <v>221</v>
      </c>
      <c r="H56" s="50" t="s">
        <v>59</v>
      </c>
      <c r="I56" s="50" t="s">
        <v>59</v>
      </c>
      <c r="J56" s="49" t="s">
        <v>222</v>
      </c>
      <c r="K56" s="57">
        <v>1</v>
      </c>
      <c r="L56" s="59" t="s">
        <v>59</v>
      </c>
    </row>
    <row r="57" spans="1:12" ht="63.75" x14ac:dyDescent="0.2">
      <c r="A57" s="49" t="s">
        <v>223</v>
      </c>
      <c r="B57" s="49" t="s">
        <v>223</v>
      </c>
      <c r="C57" s="49" t="s">
        <v>203</v>
      </c>
      <c r="D57" s="50" t="s">
        <v>59</v>
      </c>
      <c r="E57" s="49" t="s">
        <v>188</v>
      </c>
      <c r="F57" s="50" t="s">
        <v>59</v>
      </c>
      <c r="G57" s="49" t="s">
        <v>224</v>
      </c>
      <c r="H57" s="50" t="s">
        <v>59</v>
      </c>
      <c r="I57" s="50" t="s">
        <v>59</v>
      </c>
      <c r="J57" s="49" t="s">
        <v>190</v>
      </c>
      <c r="K57" s="57">
        <v>1</v>
      </c>
      <c r="L57" s="59" t="s">
        <v>59</v>
      </c>
    </row>
    <row r="58" spans="1:12" ht="51" x14ac:dyDescent="0.2">
      <c r="A58" s="49" t="s">
        <v>225</v>
      </c>
      <c r="B58" s="49" t="s">
        <v>225</v>
      </c>
      <c r="C58" s="49" t="s">
        <v>203</v>
      </c>
      <c r="D58" s="50" t="s">
        <v>59</v>
      </c>
      <c r="E58" s="49" t="s">
        <v>188</v>
      </c>
      <c r="F58" s="50" t="s">
        <v>59</v>
      </c>
      <c r="G58" s="49" t="s">
        <v>226</v>
      </c>
      <c r="H58" s="50" t="s">
        <v>59</v>
      </c>
      <c r="I58" s="50" t="s">
        <v>59</v>
      </c>
      <c r="J58" s="49" t="s">
        <v>190</v>
      </c>
      <c r="K58" s="57">
        <v>1</v>
      </c>
      <c r="L58" s="59" t="s">
        <v>59</v>
      </c>
    </row>
    <row r="59" spans="1:12" ht="114.75" x14ac:dyDescent="0.2">
      <c r="A59" s="49" t="s">
        <v>227</v>
      </c>
      <c r="B59" s="49" t="s">
        <v>227</v>
      </c>
      <c r="C59" s="49" t="s">
        <v>203</v>
      </c>
      <c r="D59" s="50" t="s">
        <v>59</v>
      </c>
      <c r="E59" s="49" t="s">
        <v>188</v>
      </c>
      <c r="F59" s="50" t="s">
        <v>59</v>
      </c>
      <c r="G59" s="49" t="s">
        <v>228</v>
      </c>
      <c r="H59" s="50" t="s">
        <v>59</v>
      </c>
      <c r="I59" s="50" t="s">
        <v>59</v>
      </c>
      <c r="J59" s="49" t="s">
        <v>190</v>
      </c>
      <c r="K59" s="57">
        <v>1</v>
      </c>
      <c r="L59" s="59" t="s">
        <v>59</v>
      </c>
    </row>
    <row r="60" spans="1:12" ht="63.75" x14ac:dyDescent="0.2">
      <c r="A60" s="49" t="s">
        <v>229</v>
      </c>
      <c r="B60" s="49" t="s">
        <v>229</v>
      </c>
      <c r="C60" s="49" t="s">
        <v>203</v>
      </c>
      <c r="D60" s="50" t="s">
        <v>59</v>
      </c>
      <c r="E60" s="49" t="s">
        <v>188</v>
      </c>
      <c r="F60" s="50" t="s">
        <v>59</v>
      </c>
      <c r="G60" s="49" t="s">
        <v>230</v>
      </c>
      <c r="H60" s="50" t="s">
        <v>59</v>
      </c>
      <c r="I60" s="50" t="s">
        <v>59</v>
      </c>
      <c r="J60" s="49" t="s">
        <v>190</v>
      </c>
      <c r="K60" s="57">
        <v>1</v>
      </c>
      <c r="L60" s="59" t="s">
        <v>59</v>
      </c>
    </row>
    <row r="61" spans="1:12" ht="57" customHeight="1" x14ac:dyDescent="0.2">
      <c r="A61" s="49" t="s">
        <v>231</v>
      </c>
      <c r="B61" s="49" t="s">
        <v>80</v>
      </c>
      <c r="C61" s="49" t="s">
        <v>80</v>
      </c>
      <c r="D61" s="50"/>
      <c r="E61" s="49" t="s">
        <v>67</v>
      </c>
      <c r="F61" s="50"/>
      <c r="G61" s="49" t="s">
        <v>232</v>
      </c>
      <c r="H61" s="64">
        <v>44602</v>
      </c>
      <c r="I61" s="50"/>
      <c r="J61" s="49" t="s">
        <v>99</v>
      </c>
      <c r="K61" s="57">
        <v>1</v>
      </c>
      <c r="L61" s="59"/>
    </row>
    <row r="62" spans="1:12" ht="30.75" customHeight="1" x14ac:dyDescent="0.2">
      <c r="A62" s="49" t="s">
        <v>233</v>
      </c>
      <c r="B62" s="49" t="s">
        <v>114</v>
      </c>
      <c r="C62" s="49" t="s">
        <v>114</v>
      </c>
      <c r="D62" s="50" t="s">
        <v>59</v>
      </c>
      <c r="E62" s="49" t="s">
        <v>67</v>
      </c>
      <c r="F62" s="50" t="s">
        <v>59</v>
      </c>
      <c r="G62" s="49" t="s">
        <v>234</v>
      </c>
      <c r="H62" s="64">
        <v>44602</v>
      </c>
      <c r="I62" s="50" t="s">
        <v>59</v>
      </c>
      <c r="J62" s="49" t="s">
        <v>119</v>
      </c>
      <c r="K62" s="57">
        <v>1</v>
      </c>
      <c r="L62" s="59" t="s">
        <v>59</v>
      </c>
    </row>
    <row r="63" spans="1:12" ht="51" x14ac:dyDescent="0.2">
      <c r="A63" s="49" t="s">
        <v>235</v>
      </c>
      <c r="B63" s="49" t="s">
        <v>58</v>
      </c>
      <c r="C63" s="49" t="s">
        <v>58</v>
      </c>
      <c r="D63" s="50" t="s">
        <v>59</v>
      </c>
      <c r="E63" s="49" t="s">
        <v>67</v>
      </c>
      <c r="F63" s="50" t="s">
        <v>59</v>
      </c>
      <c r="G63" s="49" t="s">
        <v>236</v>
      </c>
      <c r="H63" s="50" t="s">
        <v>59</v>
      </c>
      <c r="I63" s="50" t="s">
        <v>59</v>
      </c>
      <c r="J63" s="70" t="s">
        <v>237</v>
      </c>
      <c r="K63" s="73">
        <v>5</v>
      </c>
      <c r="L63" s="59" t="s">
        <v>59</v>
      </c>
    </row>
    <row r="64" spans="1:12" ht="38.25" x14ac:dyDescent="0.2">
      <c r="A64" s="49" t="s">
        <v>238</v>
      </c>
      <c r="B64" s="49" t="s">
        <v>80</v>
      </c>
      <c r="C64" s="49" t="s">
        <v>80</v>
      </c>
      <c r="D64" s="50"/>
      <c r="E64" s="49" t="s">
        <v>67</v>
      </c>
      <c r="F64" s="50"/>
      <c r="G64" s="49" t="s">
        <v>239</v>
      </c>
      <c r="H64" s="64">
        <v>44602</v>
      </c>
      <c r="I64" s="50"/>
      <c r="J64" s="49" t="s">
        <v>99</v>
      </c>
      <c r="K64" s="57">
        <v>1</v>
      </c>
      <c r="L64" s="49"/>
    </row>
    <row r="65" spans="1:12" ht="25.5" x14ac:dyDescent="0.2">
      <c r="A65" s="49" t="s">
        <v>240</v>
      </c>
      <c r="B65" s="49" t="s">
        <v>133</v>
      </c>
      <c r="C65" s="49" t="s">
        <v>134</v>
      </c>
      <c r="D65" s="50" t="s">
        <v>59</v>
      </c>
      <c r="E65" s="49" t="s">
        <v>60</v>
      </c>
      <c r="F65" s="50" t="s">
        <v>59</v>
      </c>
      <c r="G65" s="49" t="s">
        <v>241</v>
      </c>
      <c r="H65" s="50" t="s">
        <v>59</v>
      </c>
      <c r="I65" s="50" t="s">
        <v>59</v>
      </c>
      <c r="J65" s="70" t="s">
        <v>242</v>
      </c>
      <c r="K65" s="57">
        <v>1</v>
      </c>
      <c r="L65" s="49" t="s">
        <v>243</v>
      </c>
    </row>
    <row r="66" spans="1:12" ht="78" customHeight="1" x14ac:dyDescent="0.2">
      <c r="A66" s="49" t="s">
        <v>244</v>
      </c>
      <c r="B66" s="49" t="s">
        <v>245</v>
      </c>
      <c r="C66" s="50" t="s">
        <v>58</v>
      </c>
      <c r="D66" s="50" t="s">
        <v>59</v>
      </c>
      <c r="E66" s="49" t="s">
        <v>60</v>
      </c>
      <c r="F66" s="50" t="s">
        <v>59</v>
      </c>
      <c r="G66" s="49" t="s">
        <v>246</v>
      </c>
      <c r="H66" s="50" t="s">
        <v>59</v>
      </c>
      <c r="I66" s="50" t="s">
        <v>59</v>
      </c>
      <c r="J66" s="67" t="s">
        <v>108</v>
      </c>
      <c r="K66" s="57">
        <v>1</v>
      </c>
      <c r="L66" s="59" t="s">
        <v>59</v>
      </c>
    </row>
    <row r="67" spans="1:12" ht="63.75" x14ac:dyDescent="0.2">
      <c r="A67" s="49" t="s">
        <v>247</v>
      </c>
      <c r="B67" s="49" t="s">
        <v>245</v>
      </c>
      <c r="C67" s="49" t="s">
        <v>58</v>
      </c>
      <c r="D67" s="50" t="s">
        <v>59</v>
      </c>
      <c r="E67" s="49" t="s">
        <v>60</v>
      </c>
      <c r="F67" s="50" t="s">
        <v>59</v>
      </c>
      <c r="G67" s="49" t="s">
        <v>248</v>
      </c>
      <c r="H67" s="50" t="s">
        <v>59</v>
      </c>
      <c r="I67" s="50" t="s">
        <v>59</v>
      </c>
      <c r="J67" s="49" t="s">
        <v>64</v>
      </c>
      <c r="K67" s="57">
        <v>1</v>
      </c>
      <c r="L67" s="59" t="s">
        <v>59</v>
      </c>
    </row>
    <row r="68" spans="1:12" ht="25.5" x14ac:dyDescent="0.2">
      <c r="A68" s="49" t="s">
        <v>249</v>
      </c>
      <c r="B68" s="49" t="s">
        <v>245</v>
      </c>
      <c r="C68" s="49" t="s">
        <v>58</v>
      </c>
      <c r="D68" s="50" t="s">
        <v>59</v>
      </c>
      <c r="E68" s="49" t="s">
        <v>188</v>
      </c>
      <c r="F68" s="50" t="s">
        <v>59</v>
      </c>
      <c r="G68" s="49" t="s">
        <v>250</v>
      </c>
      <c r="H68" s="50" t="s">
        <v>59</v>
      </c>
      <c r="I68" s="50" t="s">
        <v>59</v>
      </c>
      <c r="J68" s="49" t="s">
        <v>190</v>
      </c>
      <c r="K68" s="57">
        <v>1</v>
      </c>
      <c r="L68" s="59" t="s">
        <v>59</v>
      </c>
    </row>
    <row r="69" spans="1:12" ht="51" x14ac:dyDescent="0.2">
      <c r="A69" s="49" t="s">
        <v>251</v>
      </c>
      <c r="B69" s="49" t="s">
        <v>245</v>
      </c>
      <c r="C69" s="50" t="s">
        <v>58</v>
      </c>
      <c r="D69" s="50" t="s">
        <v>59</v>
      </c>
      <c r="E69" s="49" t="s">
        <v>60</v>
      </c>
      <c r="F69" s="50" t="s">
        <v>59</v>
      </c>
      <c r="G69" s="49" t="s">
        <v>252</v>
      </c>
      <c r="H69" s="50" t="s">
        <v>59</v>
      </c>
      <c r="I69" s="50" t="s">
        <v>59</v>
      </c>
      <c r="J69" s="67" t="s">
        <v>108</v>
      </c>
      <c r="K69" s="57">
        <v>1</v>
      </c>
      <c r="L69" s="59" t="s">
        <v>59</v>
      </c>
    </row>
    <row r="70" spans="1:12" ht="38.25" x14ac:dyDescent="0.2">
      <c r="A70" s="49" t="s">
        <v>253</v>
      </c>
      <c r="B70" s="49" t="s">
        <v>245</v>
      </c>
      <c r="C70" s="49" t="s">
        <v>58</v>
      </c>
      <c r="D70" s="50" t="s">
        <v>59</v>
      </c>
      <c r="E70" s="49" t="s">
        <v>60</v>
      </c>
      <c r="F70" s="50" t="s">
        <v>59</v>
      </c>
      <c r="G70" s="49" t="s">
        <v>254</v>
      </c>
      <c r="H70" s="50" t="s">
        <v>59</v>
      </c>
      <c r="I70" s="50" t="s">
        <v>59</v>
      </c>
      <c r="J70" s="49" t="s">
        <v>116</v>
      </c>
      <c r="K70" s="57">
        <v>1</v>
      </c>
      <c r="L70" s="59" t="s">
        <v>59</v>
      </c>
    </row>
    <row r="71" spans="1:12" ht="25.5" x14ac:dyDescent="0.2">
      <c r="A71" s="49" t="s">
        <v>255</v>
      </c>
      <c r="B71" s="49" t="s">
        <v>245</v>
      </c>
      <c r="C71" s="49" t="s">
        <v>58</v>
      </c>
      <c r="D71" s="50" t="s">
        <v>59</v>
      </c>
      <c r="E71" s="49" t="s">
        <v>188</v>
      </c>
      <c r="F71" s="50" t="s">
        <v>59</v>
      </c>
      <c r="G71" s="49" t="s">
        <v>256</v>
      </c>
      <c r="H71" s="50" t="s">
        <v>59</v>
      </c>
      <c r="I71" s="50" t="s">
        <v>59</v>
      </c>
      <c r="J71" s="49" t="s">
        <v>190</v>
      </c>
      <c r="K71" s="57">
        <v>1</v>
      </c>
      <c r="L71" s="59" t="s">
        <v>59</v>
      </c>
    </row>
    <row r="72" spans="1:12" ht="89.25" x14ac:dyDescent="0.2">
      <c r="A72" s="49" t="s">
        <v>257</v>
      </c>
      <c r="B72" s="49" t="s">
        <v>58</v>
      </c>
      <c r="C72" s="49" t="s">
        <v>58</v>
      </c>
      <c r="D72" s="50" t="s">
        <v>59</v>
      </c>
      <c r="E72" s="49" t="s">
        <v>67</v>
      </c>
      <c r="F72" s="50" t="s">
        <v>59</v>
      </c>
      <c r="G72" s="49" t="s">
        <v>258</v>
      </c>
      <c r="H72" s="50" t="s">
        <v>59</v>
      </c>
      <c r="I72" s="50" t="s">
        <v>59</v>
      </c>
      <c r="J72" s="49" t="s">
        <v>259</v>
      </c>
      <c r="K72" s="57">
        <v>2</v>
      </c>
      <c r="L72" s="59" t="s">
        <v>59</v>
      </c>
    </row>
    <row r="73" spans="1:12" ht="51" x14ac:dyDescent="0.2">
      <c r="A73" s="49" t="s">
        <v>260</v>
      </c>
      <c r="B73" s="49" t="s">
        <v>133</v>
      </c>
      <c r="C73" s="49" t="s">
        <v>134</v>
      </c>
      <c r="D73" s="50" t="s">
        <v>59</v>
      </c>
      <c r="E73" s="49" t="s">
        <v>60</v>
      </c>
      <c r="F73" s="50" t="s">
        <v>59</v>
      </c>
      <c r="G73" s="49" t="s">
        <v>261</v>
      </c>
      <c r="H73" s="50" t="s">
        <v>59</v>
      </c>
      <c r="I73" s="50" t="s">
        <v>59</v>
      </c>
      <c r="J73" s="67" t="s">
        <v>262</v>
      </c>
      <c r="K73" s="57">
        <v>1</v>
      </c>
      <c r="L73" s="49" t="s">
        <v>263</v>
      </c>
    </row>
    <row r="74" spans="1:12" ht="54" customHeight="1" x14ac:dyDescent="0.2">
      <c r="A74" s="87" t="s">
        <v>264</v>
      </c>
      <c r="B74" s="50" t="s">
        <v>133</v>
      </c>
      <c r="C74" s="49" t="s">
        <v>134</v>
      </c>
      <c r="D74" s="50" t="s">
        <v>59</v>
      </c>
      <c r="E74" s="49" t="s">
        <v>60</v>
      </c>
      <c r="F74" s="50" t="s">
        <v>59</v>
      </c>
      <c r="G74" s="49" t="s">
        <v>265</v>
      </c>
      <c r="H74" s="50" t="s">
        <v>59</v>
      </c>
      <c r="I74" s="50" t="s">
        <v>59</v>
      </c>
      <c r="J74" s="60" t="s">
        <v>480</v>
      </c>
      <c r="K74" s="77">
        <v>5</v>
      </c>
      <c r="L74" s="49" t="s">
        <v>266</v>
      </c>
    </row>
    <row r="75" spans="1:12" ht="76.5" x14ac:dyDescent="0.2">
      <c r="A75" s="49" t="s">
        <v>267</v>
      </c>
      <c r="B75" s="50" t="s">
        <v>133</v>
      </c>
      <c r="C75" s="49" t="s">
        <v>134</v>
      </c>
      <c r="D75" s="50" t="s">
        <v>59</v>
      </c>
      <c r="E75" s="49" t="s">
        <v>67</v>
      </c>
      <c r="F75" s="50" t="s">
        <v>59</v>
      </c>
      <c r="G75" s="49" t="s">
        <v>268</v>
      </c>
      <c r="H75" s="50" t="s">
        <v>59</v>
      </c>
      <c r="I75" s="50" t="s">
        <v>59</v>
      </c>
      <c r="J75" s="49" t="s">
        <v>269</v>
      </c>
      <c r="K75" s="57">
        <v>2</v>
      </c>
      <c r="L75" s="59" t="s">
        <v>59</v>
      </c>
    </row>
    <row r="76" spans="1:12" ht="51" x14ac:dyDescent="0.2">
      <c r="A76" s="49" t="s">
        <v>270</v>
      </c>
      <c r="B76" s="49" t="s">
        <v>113</v>
      </c>
      <c r="C76" s="49" t="s">
        <v>114</v>
      </c>
      <c r="D76" s="50" t="s">
        <v>59</v>
      </c>
      <c r="E76" s="49" t="s">
        <v>67</v>
      </c>
      <c r="F76" s="50" t="s">
        <v>59</v>
      </c>
      <c r="G76" s="49" t="s">
        <v>271</v>
      </c>
      <c r="H76" s="50" t="s">
        <v>59</v>
      </c>
      <c r="I76" s="50" t="s">
        <v>59</v>
      </c>
      <c r="J76" s="60" t="s">
        <v>272</v>
      </c>
      <c r="K76" s="57">
        <v>3</v>
      </c>
      <c r="L76" s="59" t="s">
        <v>59</v>
      </c>
    </row>
    <row r="77" spans="1:12" ht="27" customHeight="1" x14ac:dyDescent="0.2">
      <c r="A77" s="49" t="s">
        <v>273</v>
      </c>
      <c r="B77" s="49" t="s">
        <v>58</v>
      </c>
      <c r="C77" s="49" t="s">
        <v>58</v>
      </c>
      <c r="D77" s="50" t="s">
        <v>59</v>
      </c>
      <c r="E77" s="49" t="s">
        <v>60</v>
      </c>
      <c r="F77" s="50" t="s">
        <v>59</v>
      </c>
      <c r="G77" s="49" t="s">
        <v>274</v>
      </c>
      <c r="H77" s="50" t="s">
        <v>59</v>
      </c>
      <c r="I77" s="50" t="s">
        <v>59</v>
      </c>
      <c r="J77" s="49" t="s">
        <v>210</v>
      </c>
      <c r="K77" s="57">
        <v>1</v>
      </c>
      <c r="L77" s="59" t="s">
        <v>59</v>
      </c>
    </row>
    <row r="78" spans="1:12" ht="63.75" x14ac:dyDescent="0.2">
      <c r="A78" s="49" t="s">
        <v>275</v>
      </c>
      <c r="B78" s="49" t="s">
        <v>58</v>
      </c>
      <c r="C78" s="50" t="s">
        <v>58</v>
      </c>
      <c r="D78" s="50" t="s">
        <v>59</v>
      </c>
      <c r="E78" s="49" t="s">
        <v>60</v>
      </c>
      <c r="F78" s="50" t="s">
        <v>59</v>
      </c>
      <c r="G78" s="49" t="s">
        <v>276</v>
      </c>
      <c r="H78" s="50" t="s">
        <v>59</v>
      </c>
      <c r="I78" s="50" t="s">
        <v>59</v>
      </c>
      <c r="J78" s="49" t="s">
        <v>79</v>
      </c>
      <c r="K78" s="57">
        <v>1</v>
      </c>
      <c r="L78" s="59" t="s">
        <v>59</v>
      </c>
    </row>
    <row r="79" spans="1:12" ht="51" x14ac:dyDescent="0.2">
      <c r="A79" s="49" t="s">
        <v>277</v>
      </c>
      <c r="B79" s="49" t="s">
        <v>58</v>
      </c>
      <c r="C79" s="50" t="s">
        <v>58</v>
      </c>
      <c r="D79" s="49" t="s">
        <v>59</v>
      </c>
      <c r="E79" s="49" t="s">
        <v>60</v>
      </c>
      <c r="F79" s="50" t="s">
        <v>59</v>
      </c>
      <c r="G79" s="49" t="s">
        <v>278</v>
      </c>
      <c r="H79" s="50" t="s">
        <v>59</v>
      </c>
      <c r="I79" s="50" t="s">
        <v>59</v>
      </c>
      <c r="J79" s="74" t="s">
        <v>279</v>
      </c>
      <c r="K79" s="57">
        <v>6</v>
      </c>
      <c r="L79" s="59" t="s">
        <v>59</v>
      </c>
    </row>
    <row r="80" spans="1:12" ht="51" x14ac:dyDescent="0.2">
      <c r="A80" s="49" t="s">
        <v>280</v>
      </c>
      <c r="B80" s="49" t="s">
        <v>58</v>
      </c>
      <c r="C80" s="49" t="s">
        <v>58</v>
      </c>
      <c r="D80" s="50" t="s">
        <v>59</v>
      </c>
      <c r="E80" s="49" t="s">
        <v>60</v>
      </c>
      <c r="F80" s="50" t="s">
        <v>59</v>
      </c>
      <c r="G80" s="49" t="s">
        <v>281</v>
      </c>
      <c r="H80" s="50" t="s">
        <v>59</v>
      </c>
      <c r="I80" s="50" t="s">
        <v>59</v>
      </c>
      <c r="J80" s="49" t="s">
        <v>79</v>
      </c>
      <c r="K80" s="57">
        <v>1</v>
      </c>
      <c r="L80" s="59" t="s">
        <v>59</v>
      </c>
    </row>
    <row r="81" spans="1:12" ht="76.5" x14ac:dyDescent="0.2">
      <c r="A81" s="49" t="s">
        <v>282</v>
      </c>
      <c r="B81" s="49" t="s">
        <v>58</v>
      </c>
      <c r="C81" s="50" t="s">
        <v>58</v>
      </c>
      <c r="D81" s="49" t="s">
        <v>283</v>
      </c>
      <c r="E81" s="49" t="s">
        <v>60</v>
      </c>
      <c r="F81" s="50" t="s">
        <v>59</v>
      </c>
      <c r="G81" s="49" t="s">
        <v>284</v>
      </c>
      <c r="H81" s="50" t="s">
        <v>59</v>
      </c>
      <c r="I81" s="50" t="s">
        <v>59</v>
      </c>
      <c r="J81" s="60" t="s">
        <v>167</v>
      </c>
      <c r="K81" s="57">
        <v>2</v>
      </c>
      <c r="L81" s="59" t="s">
        <v>59</v>
      </c>
    </row>
    <row r="82" spans="1:12" ht="51" x14ac:dyDescent="0.2">
      <c r="A82" s="49" t="s">
        <v>285</v>
      </c>
      <c r="B82" s="50" t="s">
        <v>58</v>
      </c>
      <c r="C82" s="50" t="s">
        <v>58</v>
      </c>
      <c r="D82" s="50" t="s">
        <v>59</v>
      </c>
      <c r="E82" s="49" t="s">
        <v>60</v>
      </c>
      <c r="F82" s="50" t="s">
        <v>59</v>
      </c>
      <c r="G82" s="49" t="s">
        <v>286</v>
      </c>
      <c r="H82" s="50" t="s">
        <v>59</v>
      </c>
      <c r="I82" s="50" t="s">
        <v>59</v>
      </c>
      <c r="J82" s="70" t="s">
        <v>105</v>
      </c>
      <c r="K82" s="57">
        <v>2</v>
      </c>
      <c r="L82" s="59" t="s">
        <v>59</v>
      </c>
    </row>
    <row r="83" spans="1:12" ht="25.5" x14ac:dyDescent="0.2">
      <c r="A83" s="49" t="s">
        <v>287</v>
      </c>
      <c r="B83" s="49" t="s">
        <v>114</v>
      </c>
      <c r="C83" s="49" t="s">
        <v>114</v>
      </c>
      <c r="D83" s="50" t="s">
        <v>59</v>
      </c>
      <c r="E83" s="49" t="s">
        <v>67</v>
      </c>
      <c r="F83" s="50" t="s">
        <v>59</v>
      </c>
      <c r="G83" s="49" t="s">
        <v>288</v>
      </c>
      <c r="H83" s="50" t="s">
        <v>59</v>
      </c>
      <c r="I83" s="50" t="s">
        <v>59</v>
      </c>
      <c r="J83" s="49" t="s">
        <v>116</v>
      </c>
      <c r="K83" s="57">
        <v>1</v>
      </c>
      <c r="L83" s="59" t="s">
        <v>59</v>
      </c>
    </row>
    <row r="84" spans="1:12" ht="63.75" x14ac:dyDescent="0.2">
      <c r="A84" s="49" t="s">
        <v>289</v>
      </c>
      <c r="B84" s="49" t="s">
        <v>114</v>
      </c>
      <c r="C84" s="49" t="s">
        <v>114</v>
      </c>
      <c r="D84" s="50" t="s">
        <v>59</v>
      </c>
      <c r="E84" s="49" t="s">
        <v>67</v>
      </c>
      <c r="F84" s="50" t="s">
        <v>59</v>
      </c>
      <c r="G84" s="49" t="s">
        <v>290</v>
      </c>
      <c r="H84" s="50" t="s">
        <v>59</v>
      </c>
      <c r="I84" s="50" t="s">
        <v>59</v>
      </c>
      <c r="J84" s="60" t="s">
        <v>291</v>
      </c>
      <c r="K84" s="57">
        <v>11</v>
      </c>
      <c r="L84" s="59" t="s">
        <v>59</v>
      </c>
    </row>
    <row r="85" spans="1:12" ht="38.25" x14ac:dyDescent="0.2">
      <c r="A85" s="49" t="s">
        <v>292</v>
      </c>
      <c r="B85" s="49" t="s">
        <v>113</v>
      </c>
      <c r="C85" s="49" t="s">
        <v>114</v>
      </c>
      <c r="D85" s="50" t="s">
        <v>59</v>
      </c>
      <c r="E85" s="49" t="s">
        <v>67</v>
      </c>
      <c r="F85" s="50" t="s">
        <v>59</v>
      </c>
      <c r="G85" s="49" t="s">
        <v>293</v>
      </c>
      <c r="H85" s="50" t="s">
        <v>59</v>
      </c>
      <c r="I85" s="50" t="s">
        <v>59</v>
      </c>
      <c r="J85" s="49" t="s">
        <v>222</v>
      </c>
      <c r="K85" s="57">
        <v>1</v>
      </c>
      <c r="L85" s="59" t="s">
        <v>59</v>
      </c>
    </row>
    <row r="86" spans="1:12" ht="38.25" x14ac:dyDescent="0.2">
      <c r="A86" s="49" t="s">
        <v>294</v>
      </c>
      <c r="B86" s="49" t="s">
        <v>294</v>
      </c>
      <c r="C86" s="49" t="s">
        <v>294</v>
      </c>
      <c r="D86" s="50" t="s">
        <v>59</v>
      </c>
      <c r="E86" s="49" t="s">
        <v>60</v>
      </c>
      <c r="F86" s="50" t="s">
        <v>59</v>
      </c>
      <c r="G86" s="49" t="s">
        <v>295</v>
      </c>
      <c r="H86" s="50" t="s">
        <v>59</v>
      </c>
      <c r="I86" s="50" t="s">
        <v>59</v>
      </c>
      <c r="J86" s="49" t="s">
        <v>64</v>
      </c>
      <c r="K86" s="57">
        <v>1</v>
      </c>
      <c r="L86" s="59" t="s">
        <v>59</v>
      </c>
    </row>
    <row r="87" spans="1:12" ht="76.5" x14ac:dyDescent="0.2">
      <c r="A87" s="49" t="s">
        <v>296</v>
      </c>
      <c r="B87" s="49" t="s">
        <v>58</v>
      </c>
      <c r="C87" s="49" t="s">
        <v>58</v>
      </c>
      <c r="D87" s="50" t="s">
        <v>59</v>
      </c>
      <c r="E87" s="49" t="s">
        <v>67</v>
      </c>
      <c r="F87" s="50" t="s">
        <v>59</v>
      </c>
      <c r="G87" s="49" t="s">
        <v>297</v>
      </c>
      <c r="H87" s="50" t="s">
        <v>59</v>
      </c>
      <c r="I87" s="50" t="s">
        <v>59</v>
      </c>
      <c r="J87" s="49" t="s">
        <v>298</v>
      </c>
      <c r="K87" s="58">
        <v>16</v>
      </c>
      <c r="L87" s="59" t="s">
        <v>59</v>
      </c>
    </row>
    <row r="88" spans="1:12" ht="38.25" x14ac:dyDescent="0.2">
      <c r="A88" s="49" t="s">
        <v>299</v>
      </c>
      <c r="B88" s="49" t="s">
        <v>206</v>
      </c>
      <c r="C88" s="49" t="s">
        <v>206</v>
      </c>
      <c r="D88" s="50"/>
      <c r="E88" s="49" t="s">
        <v>67</v>
      </c>
      <c r="F88" s="50"/>
      <c r="G88" s="49" t="s">
        <v>300</v>
      </c>
      <c r="H88" s="64">
        <v>44602</v>
      </c>
      <c r="I88" s="50"/>
      <c r="J88" s="49" t="s">
        <v>99</v>
      </c>
      <c r="K88" s="57"/>
      <c r="L88" s="49"/>
    </row>
    <row r="89" spans="1:12" ht="25.5" x14ac:dyDescent="0.2">
      <c r="A89" s="49" t="s">
        <v>301</v>
      </c>
      <c r="B89" s="49" t="s">
        <v>133</v>
      </c>
      <c r="C89" s="49" t="s">
        <v>134</v>
      </c>
      <c r="D89" s="50" t="s">
        <v>59</v>
      </c>
      <c r="E89" s="49" t="s">
        <v>60</v>
      </c>
      <c r="F89" s="50" t="s">
        <v>59</v>
      </c>
      <c r="G89" s="49" t="s">
        <v>302</v>
      </c>
      <c r="H89" s="50" t="s">
        <v>59</v>
      </c>
      <c r="I89" s="50" t="s">
        <v>59</v>
      </c>
      <c r="J89" s="70" t="s">
        <v>108</v>
      </c>
      <c r="K89" s="57">
        <v>1</v>
      </c>
      <c r="L89" s="49" t="s">
        <v>303</v>
      </c>
    </row>
    <row r="90" spans="1:12" ht="51" x14ac:dyDescent="0.2">
      <c r="A90" s="62" t="s">
        <v>304</v>
      </c>
      <c r="B90" s="49" t="s">
        <v>80</v>
      </c>
      <c r="C90" s="49" t="s">
        <v>80</v>
      </c>
      <c r="D90" s="50"/>
      <c r="E90" s="49" t="s">
        <v>67</v>
      </c>
      <c r="F90" s="50"/>
      <c r="G90" s="49" t="s">
        <v>305</v>
      </c>
      <c r="H90" s="64">
        <v>44602</v>
      </c>
      <c r="I90" s="50"/>
      <c r="J90" s="49" t="s">
        <v>99</v>
      </c>
      <c r="K90" s="57">
        <v>1</v>
      </c>
      <c r="L90" s="49"/>
    </row>
    <row r="91" spans="1:12" ht="25.5" x14ac:dyDescent="0.2">
      <c r="A91" s="62" t="s">
        <v>306</v>
      </c>
      <c r="B91" s="49" t="s">
        <v>94</v>
      </c>
      <c r="C91" s="49" t="s">
        <v>94</v>
      </c>
      <c r="D91" s="50"/>
      <c r="E91" s="49" t="s">
        <v>67</v>
      </c>
      <c r="F91" s="50"/>
      <c r="G91" s="49" t="s">
        <v>307</v>
      </c>
      <c r="H91" s="64">
        <v>44602</v>
      </c>
      <c r="I91" s="50"/>
      <c r="J91" s="49" t="s">
        <v>99</v>
      </c>
      <c r="K91" s="57">
        <v>1</v>
      </c>
      <c r="L91" s="49"/>
    </row>
    <row r="92" spans="1:12" ht="25.5" x14ac:dyDescent="0.2">
      <c r="A92" s="49" t="s">
        <v>308</v>
      </c>
      <c r="B92" s="49" t="s">
        <v>309</v>
      </c>
      <c r="C92" s="49" t="s">
        <v>310</v>
      </c>
      <c r="D92" s="50" t="s">
        <v>59</v>
      </c>
      <c r="E92" s="49" t="s">
        <v>67</v>
      </c>
      <c r="F92" s="50" t="s">
        <v>59</v>
      </c>
      <c r="G92" s="49" t="s">
        <v>311</v>
      </c>
      <c r="H92" s="50" t="s">
        <v>59</v>
      </c>
      <c r="I92" s="50" t="s">
        <v>59</v>
      </c>
      <c r="J92" s="49" t="s">
        <v>64</v>
      </c>
      <c r="K92" s="57">
        <v>1</v>
      </c>
      <c r="L92" s="59" t="s">
        <v>59</v>
      </c>
    </row>
    <row r="93" spans="1:12" ht="25.5" x14ac:dyDescent="0.2">
      <c r="A93" s="49" t="s">
        <v>312</v>
      </c>
      <c r="B93" s="49" t="s">
        <v>58</v>
      </c>
      <c r="C93" s="49" t="s">
        <v>58</v>
      </c>
      <c r="D93" s="50" t="s">
        <v>59</v>
      </c>
      <c r="E93" s="49" t="s">
        <v>67</v>
      </c>
      <c r="F93" s="50" t="s">
        <v>59</v>
      </c>
      <c r="G93" s="49" t="s">
        <v>313</v>
      </c>
      <c r="H93" s="50" t="s">
        <v>59</v>
      </c>
      <c r="I93" s="50" t="s">
        <v>59</v>
      </c>
      <c r="J93" s="49" t="s">
        <v>314</v>
      </c>
      <c r="K93" s="57">
        <v>4</v>
      </c>
      <c r="L93" s="59" t="s">
        <v>59</v>
      </c>
    </row>
    <row r="94" spans="1:12" ht="127.5" x14ac:dyDescent="0.2">
      <c r="A94" s="49" t="s">
        <v>315</v>
      </c>
      <c r="B94" s="49" t="s">
        <v>58</v>
      </c>
      <c r="C94" s="50" t="s">
        <v>58</v>
      </c>
      <c r="D94" s="50" t="s">
        <v>59</v>
      </c>
      <c r="E94" s="49" t="s">
        <v>60</v>
      </c>
      <c r="F94" s="50" t="s">
        <v>59</v>
      </c>
      <c r="G94" s="49" t="s">
        <v>316</v>
      </c>
      <c r="H94" s="50" t="s">
        <v>59</v>
      </c>
      <c r="I94" s="50" t="s">
        <v>59</v>
      </c>
      <c r="J94" s="70" t="s">
        <v>105</v>
      </c>
      <c r="K94" s="57">
        <v>2</v>
      </c>
      <c r="L94" s="59" t="s">
        <v>59</v>
      </c>
    </row>
    <row r="95" spans="1:12" ht="89.25" x14ac:dyDescent="0.2">
      <c r="A95" s="87" t="s">
        <v>317</v>
      </c>
      <c r="B95" s="49" t="s">
        <v>317</v>
      </c>
      <c r="C95" s="50" t="s">
        <v>318</v>
      </c>
      <c r="D95" s="50" t="s">
        <v>59</v>
      </c>
      <c r="E95" s="49" t="s">
        <v>188</v>
      </c>
      <c r="F95" s="50" t="s">
        <v>59</v>
      </c>
      <c r="G95" s="49" t="s">
        <v>319</v>
      </c>
      <c r="H95" s="65">
        <v>43794</v>
      </c>
      <c r="I95" s="50" t="s">
        <v>59</v>
      </c>
      <c r="J95" s="49" t="s">
        <v>481</v>
      </c>
      <c r="K95" s="57">
        <v>15</v>
      </c>
      <c r="L95" s="59" t="s">
        <v>59</v>
      </c>
    </row>
    <row r="96" spans="1:12" ht="63.75" x14ac:dyDescent="0.2">
      <c r="A96" s="49" t="s">
        <v>320</v>
      </c>
      <c r="B96" s="49" t="s">
        <v>321</v>
      </c>
      <c r="C96" s="50" t="s">
        <v>321</v>
      </c>
      <c r="D96" s="50" t="s">
        <v>59</v>
      </c>
      <c r="E96" s="71" t="s">
        <v>60</v>
      </c>
      <c r="F96" s="50" t="s">
        <v>59</v>
      </c>
      <c r="G96" s="49" t="s">
        <v>322</v>
      </c>
      <c r="H96" s="50" t="s">
        <v>59</v>
      </c>
      <c r="I96" s="50" t="s">
        <v>59</v>
      </c>
      <c r="J96" s="49" t="s">
        <v>64</v>
      </c>
      <c r="K96" s="57">
        <v>1</v>
      </c>
      <c r="L96" s="59" t="s">
        <v>59</v>
      </c>
    </row>
    <row r="97" spans="1:12" ht="63.75" x14ac:dyDescent="0.2">
      <c r="A97" s="62" t="s">
        <v>323</v>
      </c>
      <c r="B97" s="49" t="s">
        <v>324</v>
      </c>
      <c r="C97" s="50" t="s">
        <v>324</v>
      </c>
      <c r="D97" s="50"/>
      <c r="E97" s="71" t="s">
        <v>67</v>
      </c>
      <c r="F97" s="50"/>
      <c r="G97" s="49" t="s">
        <v>325</v>
      </c>
      <c r="H97" s="64">
        <v>44602</v>
      </c>
      <c r="I97" s="50"/>
      <c r="J97" s="49" t="s">
        <v>99</v>
      </c>
      <c r="K97" s="57">
        <v>1</v>
      </c>
      <c r="L97" s="59"/>
    </row>
    <row r="98" spans="1:12" ht="63.75" x14ac:dyDescent="0.2">
      <c r="A98" s="49" t="s">
        <v>326</v>
      </c>
      <c r="B98" s="49" t="s">
        <v>58</v>
      </c>
      <c r="C98" s="49" t="s">
        <v>58</v>
      </c>
      <c r="D98" s="50" t="s">
        <v>59</v>
      </c>
      <c r="E98" s="71" t="s">
        <v>60</v>
      </c>
      <c r="F98" s="50" t="s">
        <v>59</v>
      </c>
      <c r="G98" s="49" t="s">
        <v>327</v>
      </c>
      <c r="H98" s="50" t="s">
        <v>59</v>
      </c>
      <c r="I98" s="50" t="s">
        <v>59</v>
      </c>
      <c r="J98" s="49" t="s">
        <v>79</v>
      </c>
      <c r="K98" s="57">
        <v>1</v>
      </c>
      <c r="L98" s="59" t="s">
        <v>59</v>
      </c>
    </row>
    <row r="99" spans="1:12" ht="25.5" x14ac:dyDescent="0.2">
      <c r="A99" s="49" t="s">
        <v>328</v>
      </c>
      <c r="B99" s="49" t="s">
        <v>58</v>
      </c>
      <c r="C99" s="49" t="s">
        <v>58</v>
      </c>
      <c r="D99" s="50" t="s">
        <v>59</v>
      </c>
      <c r="E99" s="71" t="s">
        <v>60</v>
      </c>
      <c r="F99" s="50" t="s">
        <v>59</v>
      </c>
      <c r="G99" s="49" t="s">
        <v>329</v>
      </c>
      <c r="H99" s="50" t="s">
        <v>59</v>
      </c>
      <c r="I99" s="50" t="s">
        <v>59</v>
      </c>
      <c r="J99" s="49" t="s">
        <v>139</v>
      </c>
      <c r="K99" s="57">
        <v>1</v>
      </c>
      <c r="L99" s="59" t="s">
        <v>59</v>
      </c>
    </row>
    <row r="100" spans="1:12" ht="38.25" x14ac:dyDescent="0.2">
      <c r="A100" s="49" t="s">
        <v>330</v>
      </c>
      <c r="B100" s="49" t="s">
        <v>58</v>
      </c>
      <c r="C100" s="49" t="s">
        <v>58</v>
      </c>
      <c r="D100" s="50" t="s">
        <v>59</v>
      </c>
      <c r="E100" s="49" t="s">
        <v>67</v>
      </c>
      <c r="F100" s="50" t="s">
        <v>59</v>
      </c>
      <c r="G100" s="49" t="s">
        <v>331</v>
      </c>
      <c r="H100" s="50" t="s">
        <v>59</v>
      </c>
      <c r="I100" s="50" t="s">
        <v>59</v>
      </c>
      <c r="J100" s="49" t="s">
        <v>222</v>
      </c>
      <c r="K100" s="57">
        <v>1</v>
      </c>
      <c r="L100" s="59" t="s">
        <v>59</v>
      </c>
    </row>
    <row r="101" spans="1:12" ht="25.5" x14ac:dyDescent="0.2">
      <c r="A101" s="49" t="s">
        <v>332</v>
      </c>
      <c r="B101" s="49" t="s">
        <v>93</v>
      </c>
      <c r="C101" s="49" t="s">
        <v>93</v>
      </c>
      <c r="D101" s="50" t="s">
        <v>59</v>
      </c>
      <c r="E101" s="49" t="s">
        <v>67</v>
      </c>
      <c r="F101" s="50" t="s">
        <v>59</v>
      </c>
      <c r="G101" s="49" t="s">
        <v>333</v>
      </c>
      <c r="H101" s="50" t="s">
        <v>59</v>
      </c>
      <c r="I101" s="50" t="s">
        <v>59</v>
      </c>
      <c r="J101" s="49" t="s">
        <v>91</v>
      </c>
      <c r="K101" s="57">
        <v>1</v>
      </c>
      <c r="L101" s="59" t="s">
        <v>59</v>
      </c>
    </row>
    <row r="102" spans="1:12" ht="63.75" x14ac:dyDescent="0.2">
      <c r="A102" s="49" t="s">
        <v>334</v>
      </c>
      <c r="B102" s="49" t="s">
        <v>334</v>
      </c>
      <c r="C102" s="50" t="s">
        <v>58</v>
      </c>
      <c r="D102" s="50" t="s">
        <v>59</v>
      </c>
      <c r="E102" s="49" t="s">
        <v>60</v>
      </c>
      <c r="F102" s="50" t="s">
        <v>59</v>
      </c>
      <c r="G102" s="49" t="s">
        <v>335</v>
      </c>
      <c r="H102" s="50" t="s">
        <v>59</v>
      </c>
      <c r="I102" s="50" t="s">
        <v>59</v>
      </c>
      <c r="J102" s="49" t="s">
        <v>79</v>
      </c>
      <c r="K102" s="57">
        <v>1</v>
      </c>
      <c r="L102" s="59" t="s">
        <v>59</v>
      </c>
    </row>
    <row r="103" spans="1:12" ht="38.25" x14ac:dyDescent="0.2">
      <c r="A103" s="62" t="s">
        <v>336</v>
      </c>
      <c r="B103" s="49" t="s">
        <v>337</v>
      </c>
      <c r="C103" s="50" t="s">
        <v>337</v>
      </c>
      <c r="D103" s="50"/>
      <c r="E103" s="49" t="s">
        <v>67</v>
      </c>
      <c r="F103" s="50"/>
      <c r="G103" s="49" t="s">
        <v>338</v>
      </c>
      <c r="H103" s="64">
        <v>44602</v>
      </c>
      <c r="I103" s="50"/>
      <c r="J103" s="49" t="s">
        <v>99</v>
      </c>
      <c r="K103" s="57">
        <v>1</v>
      </c>
      <c r="L103" s="59"/>
    </row>
    <row r="104" spans="1:12" ht="76.5" x14ac:dyDescent="0.2">
      <c r="A104" s="49" t="s">
        <v>339</v>
      </c>
      <c r="B104" s="49" t="s">
        <v>337</v>
      </c>
      <c r="C104" s="49" t="s">
        <v>66</v>
      </c>
      <c r="D104" s="50" t="s">
        <v>59</v>
      </c>
      <c r="E104" s="49" t="s">
        <v>67</v>
      </c>
      <c r="F104" s="50" t="s">
        <v>59</v>
      </c>
      <c r="G104" s="49" t="s">
        <v>340</v>
      </c>
      <c r="H104" s="50" t="s">
        <v>59</v>
      </c>
      <c r="I104" s="50" t="s">
        <v>59</v>
      </c>
      <c r="J104" s="60" t="s">
        <v>341</v>
      </c>
      <c r="K104" s="57">
        <v>3</v>
      </c>
      <c r="L104" s="59" t="s">
        <v>59</v>
      </c>
    </row>
    <row r="105" spans="1:12" ht="97.5" customHeight="1" x14ac:dyDescent="0.2">
      <c r="A105" s="49" t="s">
        <v>342</v>
      </c>
      <c r="B105" s="49" t="s">
        <v>58</v>
      </c>
      <c r="C105" s="49" t="s">
        <v>58</v>
      </c>
      <c r="D105" s="50" t="s">
        <v>59</v>
      </c>
      <c r="E105" s="49" t="s">
        <v>67</v>
      </c>
      <c r="F105" s="50" t="s">
        <v>59</v>
      </c>
      <c r="G105" s="49" t="s">
        <v>343</v>
      </c>
      <c r="H105" s="50" t="s">
        <v>59</v>
      </c>
      <c r="I105" s="50" t="s">
        <v>59</v>
      </c>
      <c r="J105" s="70" t="s">
        <v>344</v>
      </c>
      <c r="K105" s="57">
        <v>3</v>
      </c>
      <c r="L105" s="59" t="s">
        <v>59</v>
      </c>
    </row>
    <row r="106" spans="1:12" ht="25.5" x14ac:dyDescent="0.2">
      <c r="A106" s="66" t="s">
        <v>345</v>
      </c>
      <c r="B106" s="49" t="s">
        <v>337</v>
      </c>
      <c r="C106" s="50" t="s">
        <v>337</v>
      </c>
      <c r="D106" s="50"/>
      <c r="E106" s="49" t="s">
        <v>67</v>
      </c>
      <c r="F106" s="50"/>
      <c r="G106" s="49" t="s">
        <v>346</v>
      </c>
      <c r="H106" s="64">
        <v>44602</v>
      </c>
      <c r="I106" s="50"/>
      <c r="J106" s="49" t="s">
        <v>99</v>
      </c>
      <c r="K106" s="57">
        <v>1</v>
      </c>
      <c r="L106" s="59"/>
    </row>
    <row r="107" spans="1:12" ht="25.5" x14ac:dyDescent="0.2">
      <c r="A107" s="49" t="s">
        <v>347</v>
      </c>
      <c r="B107" s="49" t="s">
        <v>337</v>
      </c>
      <c r="C107" s="50" t="s">
        <v>337</v>
      </c>
      <c r="D107" s="50" t="s">
        <v>59</v>
      </c>
      <c r="E107" s="49" t="s">
        <v>67</v>
      </c>
      <c r="F107" s="50" t="s">
        <v>59</v>
      </c>
      <c r="G107" s="50" t="s">
        <v>348</v>
      </c>
      <c r="H107" s="50" t="s">
        <v>59</v>
      </c>
      <c r="I107" s="50" t="s">
        <v>59</v>
      </c>
      <c r="J107" s="49" t="s">
        <v>349</v>
      </c>
      <c r="K107" s="57">
        <v>2</v>
      </c>
      <c r="L107" s="59" t="s">
        <v>59</v>
      </c>
    </row>
    <row r="108" spans="1:12" ht="63.75" x14ac:dyDescent="0.2">
      <c r="A108" s="49" t="s">
        <v>350</v>
      </c>
      <c r="B108" s="49" t="s">
        <v>113</v>
      </c>
      <c r="C108" s="49" t="s">
        <v>58</v>
      </c>
      <c r="D108" s="50" t="s">
        <v>59</v>
      </c>
      <c r="E108" s="49" t="s">
        <v>67</v>
      </c>
      <c r="F108" s="50" t="s">
        <v>59</v>
      </c>
      <c r="G108" s="49" t="s">
        <v>351</v>
      </c>
      <c r="H108" s="50" t="s">
        <v>59</v>
      </c>
      <c r="I108" s="50" t="s">
        <v>59</v>
      </c>
      <c r="J108" s="49" t="s">
        <v>79</v>
      </c>
      <c r="K108" s="57">
        <v>1</v>
      </c>
      <c r="L108" s="59" t="s">
        <v>59</v>
      </c>
    </row>
    <row r="109" spans="1:12" ht="63.75" x14ac:dyDescent="0.2">
      <c r="A109" s="62" t="s">
        <v>352</v>
      </c>
      <c r="B109" s="49" t="s">
        <v>80</v>
      </c>
      <c r="C109" s="49" t="s">
        <v>80</v>
      </c>
      <c r="D109" s="50"/>
      <c r="E109" s="49" t="s">
        <v>67</v>
      </c>
      <c r="F109" s="50"/>
      <c r="G109" s="49" t="s">
        <v>353</v>
      </c>
      <c r="H109" s="64">
        <v>44602</v>
      </c>
      <c r="I109" s="50"/>
      <c r="J109" s="49" t="s">
        <v>99</v>
      </c>
      <c r="K109" s="57">
        <v>1</v>
      </c>
      <c r="L109" s="59"/>
    </row>
    <row r="110" spans="1:12" ht="51" x14ac:dyDescent="0.2">
      <c r="A110" s="49" t="s">
        <v>354</v>
      </c>
      <c r="B110" s="49" t="s">
        <v>113</v>
      </c>
      <c r="C110" s="49" t="s">
        <v>114</v>
      </c>
      <c r="D110" s="50" t="s">
        <v>59</v>
      </c>
      <c r="E110" s="49" t="s">
        <v>67</v>
      </c>
      <c r="F110" s="50" t="s">
        <v>59</v>
      </c>
      <c r="G110" s="49" t="s">
        <v>355</v>
      </c>
      <c r="H110" s="50" t="s">
        <v>59</v>
      </c>
      <c r="I110" s="50" t="s">
        <v>59</v>
      </c>
      <c r="J110" s="49" t="s">
        <v>79</v>
      </c>
      <c r="K110" s="57">
        <v>1</v>
      </c>
      <c r="L110" s="59" t="s">
        <v>59</v>
      </c>
    </row>
    <row r="111" spans="1:12" ht="51" x14ac:dyDescent="0.2">
      <c r="A111" s="49" t="s">
        <v>356</v>
      </c>
      <c r="B111" s="49" t="s">
        <v>94</v>
      </c>
      <c r="C111" s="49" t="s">
        <v>94</v>
      </c>
      <c r="D111" s="50" t="s">
        <v>59</v>
      </c>
      <c r="E111" s="49" t="s">
        <v>67</v>
      </c>
      <c r="F111" s="50" t="s">
        <v>59</v>
      </c>
      <c r="G111" s="49" t="s">
        <v>357</v>
      </c>
      <c r="H111" s="50" t="s">
        <v>59</v>
      </c>
      <c r="I111" s="50" t="s">
        <v>59</v>
      </c>
      <c r="J111" s="68" t="s">
        <v>358</v>
      </c>
      <c r="K111" s="57">
        <v>4</v>
      </c>
      <c r="L111" s="59" t="s">
        <v>59</v>
      </c>
    </row>
    <row r="112" spans="1:12" ht="140.25" x14ac:dyDescent="0.2">
      <c r="A112" s="49" t="s">
        <v>359</v>
      </c>
      <c r="B112" s="49" t="s">
        <v>94</v>
      </c>
      <c r="C112" s="50" t="s">
        <v>94</v>
      </c>
      <c r="D112" s="50" t="s">
        <v>59</v>
      </c>
      <c r="E112" s="49" t="s">
        <v>67</v>
      </c>
      <c r="F112" s="50" t="s">
        <v>59</v>
      </c>
      <c r="G112" s="49" t="s">
        <v>360</v>
      </c>
      <c r="H112" s="50" t="s">
        <v>59</v>
      </c>
      <c r="I112" s="50" t="s">
        <v>59</v>
      </c>
      <c r="J112" s="70" t="s">
        <v>361</v>
      </c>
      <c r="K112" s="57">
        <v>4</v>
      </c>
      <c r="L112" s="59" t="s">
        <v>59</v>
      </c>
    </row>
    <row r="113" spans="1:12" ht="63.75" x14ac:dyDescent="0.2">
      <c r="A113" s="49" t="s">
        <v>362</v>
      </c>
      <c r="B113" s="49" t="s">
        <v>94</v>
      </c>
      <c r="C113" s="50" t="s">
        <v>94</v>
      </c>
      <c r="D113" s="50" t="s">
        <v>59</v>
      </c>
      <c r="E113" s="49" t="s">
        <v>60</v>
      </c>
      <c r="F113" s="50" t="s">
        <v>59</v>
      </c>
      <c r="G113" s="49" t="s">
        <v>363</v>
      </c>
      <c r="H113" s="50" t="s">
        <v>59</v>
      </c>
      <c r="I113" s="50" t="s">
        <v>59</v>
      </c>
      <c r="J113" s="49" t="s">
        <v>79</v>
      </c>
      <c r="K113" s="57">
        <v>1</v>
      </c>
      <c r="L113" s="59" t="s">
        <v>59</v>
      </c>
    </row>
    <row r="114" spans="1:12" ht="25.5" x14ac:dyDescent="0.2">
      <c r="A114" s="49" t="s">
        <v>364</v>
      </c>
      <c r="B114" s="49" t="s">
        <v>365</v>
      </c>
      <c r="C114" s="49" t="s">
        <v>94</v>
      </c>
      <c r="D114" s="50" t="s">
        <v>59</v>
      </c>
      <c r="E114" s="49" t="s">
        <v>67</v>
      </c>
      <c r="F114" s="50" t="s">
        <v>59</v>
      </c>
      <c r="G114" s="49" t="s">
        <v>366</v>
      </c>
      <c r="H114" s="50" t="s">
        <v>59</v>
      </c>
      <c r="I114" s="50" t="s">
        <v>59</v>
      </c>
      <c r="J114" s="49" t="s">
        <v>91</v>
      </c>
      <c r="K114" s="57">
        <v>1</v>
      </c>
      <c r="L114" s="59" t="s">
        <v>59</v>
      </c>
    </row>
    <row r="115" spans="1:12" ht="25.5" x14ac:dyDescent="0.2">
      <c r="A115" s="49" t="s">
        <v>367</v>
      </c>
      <c r="B115" s="49" t="s">
        <v>94</v>
      </c>
      <c r="C115" s="49" t="s">
        <v>94</v>
      </c>
      <c r="D115" s="50" t="s">
        <v>59</v>
      </c>
      <c r="E115" s="49" t="s">
        <v>60</v>
      </c>
      <c r="F115" s="50" t="s">
        <v>59</v>
      </c>
      <c r="G115" s="49" t="s">
        <v>368</v>
      </c>
      <c r="H115" s="50" t="s">
        <v>59</v>
      </c>
      <c r="I115" s="50" t="s">
        <v>59</v>
      </c>
      <c r="J115" s="49" t="s">
        <v>64</v>
      </c>
      <c r="K115" s="57">
        <v>1</v>
      </c>
      <c r="L115" s="59" t="s">
        <v>59</v>
      </c>
    </row>
    <row r="116" spans="1:12" ht="38.25" x14ac:dyDescent="0.2">
      <c r="A116" s="49" t="s">
        <v>369</v>
      </c>
      <c r="B116" s="49" t="s">
        <v>58</v>
      </c>
      <c r="C116" s="49" t="s">
        <v>58</v>
      </c>
      <c r="D116" s="50" t="s">
        <v>59</v>
      </c>
      <c r="E116" s="49" t="s">
        <v>67</v>
      </c>
      <c r="F116" s="50" t="s">
        <v>59</v>
      </c>
      <c r="G116" s="49" t="s">
        <v>370</v>
      </c>
      <c r="H116" s="50" t="s">
        <v>59</v>
      </c>
      <c r="I116" s="50" t="s">
        <v>59</v>
      </c>
      <c r="J116" s="49" t="s">
        <v>371</v>
      </c>
      <c r="K116" s="57">
        <v>3</v>
      </c>
      <c r="L116" s="59" t="s">
        <v>59</v>
      </c>
    </row>
    <row r="117" spans="1:12" ht="25.5" x14ac:dyDescent="0.2">
      <c r="A117" s="49" t="s">
        <v>372</v>
      </c>
      <c r="B117" s="49" t="s">
        <v>66</v>
      </c>
      <c r="C117" s="49" t="s">
        <v>66</v>
      </c>
      <c r="D117" s="50" t="s">
        <v>59</v>
      </c>
      <c r="E117" s="49" t="s">
        <v>67</v>
      </c>
      <c r="F117" s="50" t="s">
        <v>59</v>
      </c>
      <c r="G117" s="49" t="s">
        <v>373</v>
      </c>
      <c r="H117" s="50" t="s">
        <v>59</v>
      </c>
      <c r="I117" s="50" t="s">
        <v>59</v>
      </c>
      <c r="J117" s="49" t="s">
        <v>174</v>
      </c>
      <c r="K117" s="57">
        <v>5</v>
      </c>
      <c r="L117" s="59" t="s">
        <v>59</v>
      </c>
    </row>
    <row r="118" spans="1:12" ht="89.25" x14ac:dyDescent="0.2">
      <c r="A118" s="49" t="s">
        <v>374</v>
      </c>
      <c r="B118" s="49" t="s">
        <v>66</v>
      </c>
      <c r="C118" s="49" t="s">
        <v>66</v>
      </c>
      <c r="D118" s="50" t="s">
        <v>59</v>
      </c>
      <c r="E118" s="49" t="s">
        <v>60</v>
      </c>
      <c r="F118" s="50" t="s">
        <v>59</v>
      </c>
      <c r="G118" s="49" t="s">
        <v>375</v>
      </c>
      <c r="H118" s="50" t="s">
        <v>59</v>
      </c>
      <c r="I118" s="50" t="s">
        <v>59</v>
      </c>
      <c r="J118" s="49" t="s">
        <v>149</v>
      </c>
      <c r="K118" s="57">
        <v>1</v>
      </c>
      <c r="L118" s="59" t="s">
        <v>59</v>
      </c>
    </row>
    <row r="119" spans="1:12" ht="38.25" x14ac:dyDescent="0.2">
      <c r="A119" s="49" t="s">
        <v>376</v>
      </c>
      <c r="B119" s="49" t="s">
        <v>66</v>
      </c>
      <c r="C119" s="50" t="s">
        <v>66</v>
      </c>
      <c r="D119" s="50" t="s">
        <v>59</v>
      </c>
      <c r="E119" s="49" t="s">
        <v>60</v>
      </c>
      <c r="F119" s="50" t="s">
        <v>59</v>
      </c>
      <c r="G119" s="49" t="s">
        <v>377</v>
      </c>
      <c r="H119" s="50" t="s">
        <v>59</v>
      </c>
      <c r="I119" s="50" t="s">
        <v>59</v>
      </c>
      <c r="J119" s="49" t="s">
        <v>69</v>
      </c>
      <c r="K119" s="57">
        <v>2</v>
      </c>
      <c r="L119" s="59" t="s">
        <v>59</v>
      </c>
    </row>
    <row r="120" spans="1:12" ht="25.5" x14ac:dyDescent="0.2">
      <c r="A120" s="66" t="s">
        <v>378</v>
      </c>
      <c r="B120" s="49" t="s">
        <v>66</v>
      </c>
      <c r="C120" s="50" t="s">
        <v>66</v>
      </c>
      <c r="D120" s="50"/>
      <c r="E120" s="49" t="s">
        <v>60</v>
      </c>
      <c r="F120" s="50"/>
      <c r="G120" s="49" t="s">
        <v>379</v>
      </c>
      <c r="H120" s="64">
        <v>44602</v>
      </c>
      <c r="I120" s="50"/>
      <c r="J120" s="49" t="s">
        <v>99</v>
      </c>
      <c r="K120" s="57">
        <v>1</v>
      </c>
      <c r="L120" s="59"/>
    </row>
    <row r="121" spans="1:12" ht="38.25" x14ac:dyDescent="0.2">
      <c r="A121" s="49" t="s">
        <v>380</v>
      </c>
      <c r="B121" s="49" t="s">
        <v>66</v>
      </c>
      <c r="C121" s="49" t="s">
        <v>66</v>
      </c>
      <c r="D121" s="50" t="s">
        <v>59</v>
      </c>
      <c r="E121" s="49" t="s">
        <v>67</v>
      </c>
      <c r="F121" s="50" t="s">
        <v>59</v>
      </c>
      <c r="G121" s="49" t="s">
        <v>381</v>
      </c>
      <c r="H121" s="50" t="s">
        <v>59</v>
      </c>
      <c r="I121" s="50" t="s">
        <v>59</v>
      </c>
      <c r="J121" s="70" t="s">
        <v>382</v>
      </c>
      <c r="K121" s="57">
        <v>8</v>
      </c>
      <c r="L121" s="59" t="s">
        <v>59</v>
      </c>
    </row>
    <row r="122" spans="1:12" ht="25.5" x14ac:dyDescent="0.2">
      <c r="A122" s="49" t="s">
        <v>383</v>
      </c>
      <c r="B122" s="49" t="s">
        <v>66</v>
      </c>
      <c r="C122" s="50" t="s">
        <v>66</v>
      </c>
      <c r="D122" s="50" t="s">
        <v>59</v>
      </c>
      <c r="E122" s="50" t="s">
        <v>384</v>
      </c>
      <c r="F122" s="50" t="s">
        <v>59</v>
      </c>
      <c r="G122" s="49" t="s">
        <v>385</v>
      </c>
      <c r="H122" s="50" t="s">
        <v>59</v>
      </c>
      <c r="I122" s="50" t="s">
        <v>59</v>
      </c>
      <c r="J122" s="49" t="s">
        <v>61</v>
      </c>
      <c r="K122" s="57">
        <v>1</v>
      </c>
      <c r="L122" s="59" t="s">
        <v>59</v>
      </c>
    </row>
    <row r="123" spans="1:12" ht="38.25" x14ac:dyDescent="0.2">
      <c r="A123" s="49" t="s">
        <v>386</v>
      </c>
      <c r="B123" s="49" t="s">
        <v>66</v>
      </c>
      <c r="C123" s="49" t="s">
        <v>66</v>
      </c>
      <c r="D123" s="50" t="s">
        <v>59</v>
      </c>
      <c r="E123" s="49" t="s">
        <v>60</v>
      </c>
      <c r="F123" s="50" t="s">
        <v>59</v>
      </c>
      <c r="G123" s="49" t="s">
        <v>387</v>
      </c>
      <c r="H123" s="50" t="s">
        <v>59</v>
      </c>
      <c r="I123" s="50" t="s">
        <v>59</v>
      </c>
      <c r="J123" s="49" t="s">
        <v>242</v>
      </c>
      <c r="K123" s="57">
        <v>1</v>
      </c>
      <c r="L123" s="59" t="s">
        <v>59</v>
      </c>
    </row>
    <row r="124" spans="1:12" ht="38.25" x14ac:dyDescent="0.2">
      <c r="A124" s="49" t="s">
        <v>388</v>
      </c>
      <c r="B124" s="49" t="s">
        <v>66</v>
      </c>
      <c r="C124" s="50" t="s">
        <v>66</v>
      </c>
      <c r="D124" s="50" t="s">
        <v>59</v>
      </c>
      <c r="E124" s="49" t="s">
        <v>67</v>
      </c>
      <c r="F124" s="50" t="s">
        <v>59</v>
      </c>
      <c r="G124" s="49" t="s">
        <v>389</v>
      </c>
      <c r="H124" s="50" t="s">
        <v>59</v>
      </c>
      <c r="I124" s="50" t="s">
        <v>59</v>
      </c>
      <c r="J124" s="49" t="s">
        <v>171</v>
      </c>
      <c r="K124" s="57">
        <v>1</v>
      </c>
      <c r="L124" s="59" t="s">
        <v>59</v>
      </c>
    </row>
    <row r="125" spans="1:12" ht="51" x14ac:dyDescent="0.2">
      <c r="A125" s="49" t="s">
        <v>390</v>
      </c>
      <c r="B125" s="49" t="s">
        <v>66</v>
      </c>
      <c r="C125" s="49" t="s">
        <v>66</v>
      </c>
      <c r="D125" s="50" t="s">
        <v>59</v>
      </c>
      <c r="E125" s="49" t="s">
        <v>60</v>
      </c>
      <c r="F125" s="50" t="s">
        <v>59</v>
      </c>
      <c r="G125" s="49" t="s">
        <v>391</v>
      </c>
      <c r="H125" s="50" t="s">
        <v>59</v>
      </c>
      <c r="I125" s="50" t="s">
        <v>59</v>
      </c>
      <c r="J125" s="49" t="s">
        <v>242</v>
      </c>
      <c r="K125" s="57">
        <v>1</v>
      </c>
      <c r="L125" s="59" t="s">
        <v>59</v>
      </c>
    </row>
    <row r="126" spans="1:12" ht="38.25" x14ac:dyDescent="0.2">
      <c r="A126" s="62" t="s">
        <v>392</v>
      </c>
      <c r="B126" s="49" t="s">
        <v>66</v>
      </c>
      <c r="C126" s="49" t="s">
        <v>66</v>
      </c>
      <c r="D126" s="50"/>
      <c r="E126" s="49" t="s">
        <v>67</v>
      </c>
      <c r="F126" s="50"/>
      <c r="G126" s="49" t="s">
        <v>393</v>
      </c>
      <c r="H126" s="64">
        <v>44602</v>
      </c>
      <c r="I126" s="50"/>
      <c r="J126" s="49" t="s">
        <v>99</v>
      </c>
      <c r="K126" s="57">
        <v>1</v>
      </c>
      <c r="L126" s="59"/>
    </row>
    <row r="127" spans="1:12" ht="38.25" x14ac:dyDescent="0.2">
      <c r="A127" s="49" t="s">
        <v>394</v>
      </c>
      <c r="B127" s="49" t="s">
        <v>66</v>
      </c>
      <c r="C127" s="49" t="s">
        <v>66</v>
      </c>
      <c r="D127" s="50" t="s">
        <v>59</v>
      </c>
      <c r="E127" s="49" t="s">
        <v>67</v>
      </c>
      <c r="F127" s="50" t="s">
        <v>59</v>
      </c>
      <c r="G127" s="49" t="s">
        <v>395</v>
      </c>
      <c r="H127" s="50" t="s">
        <v>59</v>
      </c>
      <c r="I127" s="50" t="s">
        <v>59</v>
      </c>
      <c r="J127" s="49" t="s">
        <v>79</v>
      </c>
      <c r="K127" s="57">
        <v>1</v>
      </c>
      <c r="L127" s="59" t="s">
        <v>59</v>
      </c>
    </row>
    <row r="128" spans="1:12" ht="38.25" x14ac:dyDescent="0.2">
      <c r="A128" s="49" t="s">
        <v>396</v>
      </c>
      <c r="B128" s="49" t="s">
        <v>66</v>
      </c>
      <c r="C128" s="50" t="s">
        <v>66</v>
      </c>
      <c r="D128" s="50" t="s">
        <v>59</v>
      </c>
      <c r="E128" s="49" t="s">
        <v>60</v>
      </c>
      <c r="F128" s="50" t="s">
        <v>59</v>
      </c>
      <c r="G128" s="70" t="s">
        <v>397</v>
      </c>
      <c r="H128" s="50" t="s">
        <v>59</v>
      </c>
      <c r="I128" s="50" t="s">
        <v>59</v>
      </c>
      <c r="J128" s="49" t="s">
        <v>398</v>
      </c>
      <c r="K128" s="57">
        <v>1</v>
      </c>
      <c r="L128" s="59" t="s">
        <v>59</v>
      </c>
    </row>
    <row r="129" spans="1:12" ht="38.25" x14ac:dyDescent="0.2">
      <c r="A129" s="49" t="s">
        <v>399</v>
      </c>
      <c r="B129" s="49" t="s">
        <v>58</v>
      </c>
      <c r="C129" s="50" t="s">
        <v>58</v>
      </c>
      <c r="D129" s="50" t="s">
        <v>59</v>
      </c>
      <c r="E129" s="49" t="s">
        <v>60</v>
      </c>
      <c r="F129" s="50" t="s">
        <v>59</v>
      </c>
      <c r="G129" s="49" t="s">
        <v>400</v>
      </c>
      <c r="H129" s="50" t="s">
        <v>59</v>
      </c>
      <c r="I129" s="50" t="s">
        <v>59</v>
      </c>
      <c r="J129" s="49" t="s">
        <v>401</v>
      </c>
      <c r="K129" s="57">
        <v>1</v>
      </c>
      <c r="L129" s="59" t="s">
        <v>59</v>
      </c>
    </row>
    <row r="130" spans="1:12" ht="51" x14ac:dyDescent="0.2">
      <c r="A130" s="49" t="s">
        <v>402</v>
      </c>
      <c r="B130" s="49" t="s">
        <v>58</v>
      </c>
      <c r="C130" s="50" t="s">
        <v>58</v>
      </c>
      <c r="D130" s="50" t="s">
        <v>59</v>
      </c>
      <c r="E130" s="49" t="s">
        <v>60</v>
      </c>
      <c r="F130" s="50" t="s">
        <v>59</v>
      </c>
      <c r="G130" s="49" t="s">
        <v>403</v>
      </c>
      <c r="H130" s="50" t="s">
        <v>59</v>
      </c>
      <c r="I130" s="50" t="s">
        <v>59</v>
      </c>
      <c r="J130" s="49" t="s">
        <v>79</v>
      </c>
      <c r="K130" s="57">
        <v>1</v>
      </c>
      <c r="L130" s="59" t="s">
        <v>59</v>
      </c>
    </row>
    <row r="131" spans="1:12" ht="25.5" x14ac:dyDescent="0.2">
      <c r="A131" s="49" t="s">
        <v>404</v>
      </c>
      <c r="B131" s="49" t="s">
        <v>58</v>
      </c>
      <c r="C131" s="50" t="s">
        <v>58</v>
      </c>
      <c r="D131" s="50" t="s">
        <v>59</v>
      </c>
      <c r="E131" s="49" t="s">
        <v>67</v>
      </c>
      <c r="F131" s="50" t="s">
        <v>59</v>
      </c>
      <c r="G131" s="49" t="s">
        <v>405</v>
      </c>
      <c r="H131" s="61">
        <v>44530</v>
      </c>
      <c r="I131" s="50" t="s">
        <v>59</v>
      </c>
      <c r="J131" s="49" t="s">
        <v>406</v>
      </c>
      <c r="K131" s="57">
        <v>1</v>
      </c>
      <c r="L131" s="59" t="s">
        <v>59</v>
      </c>
    </row>
    <row r="132" spans="1:12" ht="25.5" x14ac:dyDescent="0.2">
      <c r="A132" s="49" t="s">
        <v>407</v>
      </c>
      <c r="B132" s="49" t="s">
        <v>58</v>
      </c>
      <c r="C132" s="50" t="s">
        <v>58</v>
      </c>
      <c r="D132" s="50" t="s">
        <v>59</v>
      </c>
      <c r="E132" s="49" t="s">
        <v>67</v>
      </c>
      <c r="F132" s="50" t="s">
        <v>59</v>
      </c>
      <c r="G132" s="49" t="s">
        <v>408</v>
      </c>
      <c r="H132" s="61">
        <v>44530</v>
      </c>
      <c r="I132" s="50" t="s">
        <v>59</v>
      </c>
      <c r="J132" s="49" t="s">
        <v>409</v>
      </c>
      <c r="K132" s="57">
        <v>1</v>
      </c>
      <c r="L132" s="59" t="s">
        <v>59</v>
      </c>
    </row>
    <row r="133" spans="1:12" ht="89.25" x14ac:dyDescent="0.2">
      <c r="A133" s="49" t="s">
        <v>410</v>
      </c>
      <c r="B133" s="70" t="s">
        <v>411</v>
      </c>
      <c r="C133" s="49" t="s">
        <v>203</v>
      </c>
      <c r="D133" s="50" t="s">
        <v>59</v>
      </c>
      <c r="E133" s="49" t="s">
        <v>188</v>
      </c>
      <c r="F133" s="50" t="s">
        <v>59</v>
      </c>
      <c r="G133" s="49" t="s">
        <v>412</v>
      </c>
      <c r="H133" s="50" t="s">
        <v>59</v>
      </c>
      <c r="I133" s="50" t="s">
        <v>59</v>
      </c>
      <c r="J133" s="49" t="s">
        <v>190</v>
      </c>
      <c r="K133" s="57">
        <v>1</v>
      </c>
      <c r="L133" s="59" t="s">
        <v>59</v>
      </c>
    </row>
    <row r="134" spans="1:12" ht="51" x14ac:dyDescent="0.2">
      <c r="A134" s="49" t="s">
        <v>413</v>
      </c>
      <c r="B134" s="70" t="s">
        <v>413</v>
      </c>
      <c r="C134" s="49" t="s">
        <v>203</v>
      </c>
      <c r="D134" s="50" t="s">
        <v>59</v>
      </c>
      <c r="E134" s="49" t="s">
        <v>188</v>
      </c>
      <c r="F134" s="50" t="s">
        <v>59</v>
      </c>
      <c r="G134" s="49" t="s">
        <v>414</v>
      </c>
      <c r="H134" s="50" t="s">
        <v>59</v>
      </c>
      <c r="I134" s="50" t="s">
        <v>59</v>
      </c>
      <c r="J134" s="49" t="s">
        <v>190</v>
      </c>
      <c r="K134" s="57">
        <v>1</v>
      </c>
      <c r="L134" s="59" t="s">
        <v>59</v>
      </c>
    </row>
    <row r="135" spans="1:12" ht="51" x14ac:dyDescent="0.2">
      <c r="A135" s="49" t="s">
        <v>415</v>
      </c>
      <c r="B135" s="70" t="s">
        <v>415</v>
      </c>
      <c r="C135" s="49" t="s">
        <v>203</v>
      </c>
      <c r="D135" s="50" t="s">
        <v>59</v>
      </c>
      <c r="E135" s="49" t="s">
        <v>188</v>
      </c>
      <c r="F135" s="50" t="s">
        <v>59</v>
      </c>
      <c r="G135" s="49" t="s">
        <v>416</v>
      </c>
      <c r="H135" s="50" t="s">
        <v>59</v>
      </c>
      <c r="I135" s="50" t="s">
        <v>59</v>
      </c>
      <c r="J135" s="49" t="s">
        <v>190</v>
      </c>
      <c r="K135" s="57">
        <v>1</v>
      </c>
      <c r="L135" s="59" t="s">
        <v>59</v>
      </c>
    </row>
    <row r="136" spans="1:12" ht="76.5" x14ac:dyDescent="0.2">
      <c r="A136" s="49" t="s">
        <v>417</v>
      </c>
      <c r="B136" s="70" t="s">
        <v>417</v>
      </c>
      <c r="C136" s="49" t="s">
        <v>203</v>
      </c>
      <c r="D136" s="50" t="s">
        <v>59</v>
      </c>
      <c r="E136" s="49" t="s">
        <v>188</v>
      </c>
      <c r="F136" s="50" t="s">
        <v>59</v>
      </c>
      <c r="G136" s="49" t="s">
        <v>418</v>
      </c>
      <c r="H136" s="50" t="s">
        <v>59</v>
      </c>
      <c r="I136" s="50" t="s">
        <v>59</v>
      </c>
      <c r="J136" s="49" t="s">
        <v>190</v>
      </c>
      <c r="K136" s="57">
        <v>1</v>
      </c>
      <c r="L136" s="59" t="s">
        <v>59</v>
      </c>
    </row>
    <row r="137" spans="1:12" ht="51" x14ac:dyDescent="0.2">
      <c r="A137" s="49" t="s">
        <v>419</v>
      </c>
      <c r="B137" s="70" t="s">
        <v>419</v>
      </c>
      <c r="C137" s="49" t="s">
        <v>203</v>
      </c>
      <c r="D137" s="50" t="s">
        <v>59</v>
      </c>
      <c r="E137" s="49" t="s">
        <v>188</v>
      </c>
      <c r="F137" s="50" t="s">
        <v>59</v>
      </c>
      <c r="G137" s="49" t="s">
        <v>420</v>
      </c>
      <c r="H137" s="50" t="s">
        <v>59</v>
      </c>
      <c r="I137" s="50" t="s">
        <v>59</v>
      </c>
      <c r="J137" s="49" t="s">
        <v>190</v>
      </c>
      <c r="K137" s="57">
        <v>1</v>
      </c>
      <c r="L137" s="59" t="s">
        <v>59</v>
      </c>
    </row>
    <row r="138" spans="1:12" ht="63.75" x14ac:dyDescent="0.2">
      <c r="A138" s="49" t="s">
        <v>421</v>
      </c>
      <c r="B138" s="49" t="s">
        <v>66</v>
      </c>
      <c r="C138" s="50" t="s">
        <v>71</v>
      </c>
      <c r="D138" s="50" t="s">
        <v>59</v>
      </c>
      <c r="E138" s="50" t="s">
        <v>384</v>
      </c>
      <c r="F138" s="50" t="s">
        <v>59</v>
      </c>
      <c r="G138" s="49" t="s">
        <v>422</v>
      </c>
      <c r="H138" s="50" t="s">
        <v>59</v>
      </c>
      <c r="I138" s="50" t="s">
        <v>59</v>
      </c>
      <c r="J138" s="49" t="s">
        <v>79</v>
      </c>
      <c r="K138" s="57">
        <v>1</v>
      </c>
      <c r="L138" s="59" t="s">
        <v>59</v>
      </c>
    </row>
    <row r="139" spans="1:12" ht="25.5" x14ac:dyDescent="0.2">
      <c r="A139" s="49" t="s">
        <v>423</v>
      </c>
      <c r="B139" s="50" t="s">
        <v>71</v>
      </c>
      <c r="C139" s="50" t="s">
        <v>71</v>
      </c>
      <c r="D139" s="50" t="s">
        <v>59</v>
      </c>
      <c r="E139" s="49" t="s">
        <v>67</v>
      </c>
      <c r="F139" s="50" t="s">
        <v>59</v>
      </c>
      <c r="G139" s="50" t="s">
        <v>424</v>
      </c>
      <c r="H139" s="50" t="s">
        <v>59</v>
      </c>
      <c r="I139" s="50" t="s">
        <v>59</v>
      </c>
      <c r="J139" s="49" t="s">
        <v>425</v>
      </c>
      <c r="K139" s="57">
        <v>2</v>
      </c>
      <c r="L139" s="59" t="s">
        <v>59</v>
      </c>
    </row>
    <row r="140" spans="1:12" ht="38.25" x14ac:dyDescent="0.2">
      <c r="A140" s="49" t="s">
        <v>426</v>
      </c>
      <c r="B140" s="49" t="s">
        <v>426</v>
      </c>
      <c r="C140" s="50" t="s">
        <v>426</v>
      </c>
      <c r="D140" s="50" t="s">
        <v>59</v>
      </c>
      <c r="E140" s="50" t="s">
        <v>384</v>
      </c>
      <c r="F140" s="50" t="s">
        <v>59</v>
      </c>
      <c r="G140" s="49" t="s">
        <v>427</v>
      </c>
      <c r="H140" s="50" t="s">
        <v>59</v>
      </c>
      <c r="I140" s="50" t="s">
        <v>59</v>
      </c>
      <c r="J140" s="70" t="s">
        <v>428</v>
      </c>
      <c r="K140" s="69">
        <v>7</v>
      </c>
      <c r="L140" s="59" t="s">
        <v>59</v>
      </c>
    </row>
    <row r="141" spans="1:12" ht="38.25" x14ac:dyDescent="0.2">
      <c r="A141" s="49" t="s">
        <v>429</v>
      </c>
      <c r="B141" s="49" t="s">
        <v>80</v>
      </c>
      <c r="C141" s="50" t="s">
        <v>80</v>
      </c>
      <c r="D141" s="50" t="s">
        <v>59</v>
      </c>
      <c r="E141" s="49" t="s">
        <v>384</v>
      </c>
      <c r="F141" s="50" t="s">
        <v>59</v>
      </c>
      <c r="G141" s="49" t="s">
        <v>430</v>
      </c>
      <c r="H141" s="50" t="s">
        <v>59</v>
      </c>
      <c r="I141" s="50" t="s">
        <v>59</v>
      </c>
      <c r="J141" s="70" t="s">
        <v>431</v>
      </c>
      <c r="K141" s="57">
        <v>2</v>
      </c>
      <c r="L141" s="59" t="s">
        <v>59</v>
      </c>
    </row>
    <row r="142" spans="1:12" ht="51" x14ac:dyDescent="0.2">
      <c r="A142" s="49" t="s">
        <v>432</v>
      </c>
      <c r="B142" s="49" t="s">
        <v>113</v>
      </c>
      <c r="C142" s="50" t="s">
        <v>71</v>
      </c>
      <c r="D142" s="50" t="s">
        <v>59</v>
      </c>
      <c r="E142" s="49" t="s">
        <v>60</v>
      </c>
      <c r="F142" s="50" t="s">
        <v>59</v>
      </c>
      <c r="G142" s="49" t="s">
        <v>433</v>
      </c>
      <c r="H142" s="50" t="s">
        <v>59</v>
      </c>
      <c r="I142" s="50" t="s">
        <v>59</v>
      </c>
      <c r="J142" s="70" t="s">
        <v>434</v>
      </c>
      <c r="K142" s="57">
        <v>1</v>
      </c>
      <c r="L142" s="50" t="s">
        <v>59</v>
      </c>
    </row>
    <row r="143" spans="1:12" x14ac:dyDescent="0.2">
      <c r="A143" s="2"/>
      <c r="B143" s="2"/>
    </row>
    <row r="144" spans="1:12" x14ac:dyDescent="0.2">
      <c r="A144" s="2"/>
      <c r="B144" s="2"/>
    </row>
    <row r="145" spans="1:2" x14ac:dyDescent="0.2">
      <c r="A145" s="2"/>
      <c r="B145" s="2"/>
    </row>
  </sheetData>
  <autoFilter ref="A2:AMF142" xr:uid="{00000000-0001-0000-0200-000000000000}">
    <sortState xmlns:xlrd2="http://schemas.microsoft.com/office/spreadsheetml/2017/richdata2" ref="A3:AMF142">
      <sortCondition ref="A2:A142"/>
    </sortState>
  </autoFilter>
  <sortState xmlns:xlrd2="http://schemas.microsoft.com/office/spreadsheetml/2017/richdata2" ref="A3:L142">
    <sortCondition ref="A3:A142"/>
  </sortState>
  <mergeCells count="1">
    <mergeCell ref="A1:C1"/>
  </mergeCells>
  <pageMargins left="0" right="0" top="0.39370078740157483" bottom="0.39370078740157483" header="0" footer="0"/>
  <pageSetup paperSize="9" orientation="portrait" horizontalDpi="4294967293" r:id="rId1"/>
  <headerFooter>
    <oddHeader>&amp;C&amp;A</oddHeader>
    <oddFooter>&amp;CPagina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F6B87-6C98-464B-B592-E910472A5378}">
  <dimension ref="A1:AMI19"/>
  <sheetViews>
    <sheetView zoomScale="70" zoomScaleNormal="70" workbookViewId="0">
      <pane xSplit="1" ySplit="2" topLeftCell="B3" activePane="bottomRight" state="frozen"/>
      <selection pane="topRight" activeCell="B1" sqref="B1"/>
      <selection pane="bottomLeft" activeCell="A2" sqref="A2"/>
      <selection pane="bottomRight" activeCell="A3" sqref="A3"/>
    </sheetView>
  </sheetViews>
  <sheetFormatPr defaultColWidth="8.75" defaultRowHeight="12.75" x14ac:dyDescent="0.2"/>
  <cols>
    <col min="1" max="1" width="32.875" style="14" bestFit="1" customWidth="1"/>
    <col min="2" max="2" width="23.875" style="14" bestFit="1" customWidth="1"/>
    <col min="3" max="3" width="15.625" style="14" bestFit="1" customWidth="1"/>
    <col min="4" max="4" width="11.625" style="14" bestFit="1" customWidth="1"/>
    <col min="5" max="5" width="14.5" style="14" bestFit="1" customWidth="1"/>
    <col min="6" max="6" width="18.75" style="14" bestFit="1" customWidth="1"/>
    <col min="7" max="7" width="13.875" style="14" bestFit="1" customWidth="1"/>
    <col min="8" max="8" width="56" style="14" customWidth="1"/>
    <col min="9" max="9" width="27.625" style="14" customWidth="1"/>
    <col min="10" max="10" width="12.5" style="14" customWidth="1"/>
    <col min="11" max="11" width="12.75" style="14" customWidth="1"/>
    <col min="12" max="12" width="24.5" style="14" customWidth="1"/>
    <col min="13" max="13" width="12.5" style="14" customWidth="1"/>
    <col min="14" max="1023" width="10.625" style="14" customWidth="1"/>
    <col min="1024" max="16384" width="8.75" style="15"/>
  </cols>
  <sheetData>
    <row r="1" spans="1:1023" s="7" customFormat="1" ht="15" x14ac:dyDescent="0.25">
      <c r="A1" s="84" t="str">
        <f>CONCATENATE("Besluittypen in ",Zaaktypecatalogus!B3," versie ",Zaaktypecatalogus!B4)</f>
        <v>Besluittypen in Zaaktypecatalogus Omgevingswet versie 1.9</v>
      </c>
      <c r="B1" s="85"/>
      <c r="C1" s="85"/>
      <c r="D1" s="85"/>
      <c r="E1" s="85"/>
      <c r="F1" s="8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row>
    <row r="2" spans="1:1023" s="10" customFormat="1" ht="38.25" x14ac:dyDescent="0.2">
      <c r="A2" s="8" t="s">
        <v>435</v>
      </c>
      <c r="B2" s="8" t="s">
        <v>46</v>
      </c>
      <c r="C2" s="8" t="s">
        <v>47</v>
      </c>
      <c r="D2" s="8" t="s">
        <v>436</v>
      </c>
      <c r="E2" s="8" t="s">
        <v>437</v>
      </c>
      <c r="F2" s="8" t="s">
        <v>438</v>
      </c>
      <c r="G2" s="9" t="s">
        <v>439</v>
      </c>
      <c r="H2" s="9" t="s">
        <v>51</v>
      </c>
      <c r="I2" s="9" t="s">
        <v>440</v>
      </c>
      <c r="J2" s="9" t="s">
        <v>52</v>
      </c>
      <c r="K2" s="9" t="s">
        <v>53</v>
      </c>
      <c r="L2" s="9" t="s">
        <v>54</v>
      </c>
      <c r="M2" s="9" t="s">
        <v>55</v>
      </c>
    </row>
    <row r="3" spans="1:1023" ht="127.5" x14ac:dyDescent="0.2">
      <c r="A3" s="11" t="s">
        <v>132</v>
      </c>
      <c r="B3" s="12" t="s">
        <v>132</v>
      </c>
      <c r="C3" s="11" t="s">
        <v>441</v>
      </c>
      <c r="D3" s="11">
        <v>42</v>
      </c>
      <c r="E3" s="11" t="s">
        <v>442</v>
      </c>
      <c r="F3" s="11"/>
      <c r="G3" s="13">
        <v>42</v>
      </c>
      <c r="H3" s="11" t="s">
        <v>443</v>
      </c>
      <c r="I3" s="11" t="s">
        <v>444</v>
      </c>
      <c r="J3" s="11"/>
      <c r="K3" s="11"/>
      <c r="L3" s="11" t="s">
        <v>445</v>
      </c>
      <c r="M3" s="11">
        <v>2</v>
      </c>
      <c r="AMH3" s="15"/>
      <c r="AMI3" s="15"/>
    </row>
    <row r="4" spans="1:1023" x14ac:dyDescent="0.2">
      <c r="A4" s="16" t="s">
        <v>137</v>
      </c>
      <c r="B4" s="17" t="s">
        <v>137</v>
      </c>
      <c r="C4" s="11" t="s">
        <v>446</v>
      </c>
      <c r="D4" s="11">
        <v>42</v>
      </c>
      <c r="E4" s="11" t="s">
        <v>447</v>
      </c>
      <c r="F4" s="11"/>
      <c r="G4" s="18">
        <v>42</v>
      </c>
      <c r="H4" s="16" t="s">
        <v>448</v>
      </c>
      <c r="I4" s="16" t="s">
        <v>137</v>
      </c>
      <c r="J4" s="11"/>
      <c r="K4" s="11"/>
      <c r="L4" s="11" t="s">
        <v>139</v>
      </c>
      <c r="M4" s="11">
        <v>1</v>
      </c>
      <c r="AMH4" s="15"/>
      <c r="AMI4" s="15"/>
    </row>
    <row r="5" spans="1:1023" ht="76.5" x14ac:dyDescent="0.2">
      <c r="A5" s="11" t="s">
        <v>143</v>
      </c>
      <c r="B5" s="11" t="s">
        <v>449</v>
      </c>
      <c r="C5" s="11" t="s">
        <v>441</v>
      </c>
      <c r="D5" s="11">
        <v>42</v>
      </c>
      <c r="E5" s="11" t="s">
        <v>442</v>
      </c>
      <c r="F5" s="11"/>
      <c r="G5" s="11"/>
      <c r="H5" s="11" t="s">
        <v>450</v>
      </c>
      <c r="I5" s="11" t="s">
        <v>143</v>
      </c>
      <c r="J5" s="11"/>
      <c r="K5" s="11"/>
      <c r="L5" s="11" t="s">
        <v>451</v>
      </c>
      <c r="M5" s="11">
        <v>3</v>
      </c>
      <c r="AMH5" s="15"/>
      <c r="AMI5" s="15"/>
    </row>
    <row r="6" spans="1:1023" ht="38.25" x14ac:dyDescent="0.2">
      <c r="A6" s="11" t="s">
        <v>452</v>
      </c>
      <c r="B6" s="11" t="s">
        <v>452</v>
      </c>
      <c r="C6" s="11" t="s">
        <v>453</v>
      </c>
      <c r="D6" s="18">
        <v>42</v>
      </c>
      <c r="E6" s="11" t="s">
        <v>442</v>
      </c>
      <c r="F6" s="11"/>
      <c r="G6" s="11"/>
      <c r="H6" s="11" t="s">
        <v>454</v>
      </c>
      <c r="I6" s="11" t="s">
        <v>455</v>
      </c>
      <c r="J6" s="11"/>
      <c r="K6" s="11"/>
      <c r="L6" s="11" t="s">
        <v>456</v>
      </c>
      <c r="M6" s="11">
        <v>1</v>
      </c>
      <c r="AMH6" s="15"/>
      <c r="AMI6" s="15"/>
    </row>
    <row r="7" spans="1:1023" ht="25.5" x14ac:dyDescent="0.2">
      <c r="A7" s="16" t="s">
        <v>147</v>
      </c>
      <c r="B7" s="16" t="s">
        <v>147</v>
      </c>
      <c r="C7" s="11" t="s">
        <v>457</v>
      </c>
      <c r="D7" s="11">
        <v>42</v>
      </c>
      <c r="E7" s="11" t="s">
        <v>447</v>
      </c>
      <c r="F7" s="11"/>
      <c r="G7" s="18">
        <v>42</v>
      </c>
      <c r="H7" s="11" t="s">
        <v>458</v>
      </c>
      <c r="I7" s="16" t="s">
        <v>147</v>
      </c>
      <c r="J7" s="11"/>
      <c r="K7" s="11"/>
      <c r="L7" s="11" t="s">
        <v>459</v>
      </c>
      <c r="M7" s="11">
        <v>1</v>
      </c>
      <c r="AMH7" s="15"/>
      <c r="AMI7" s="15"/>
    </row>
    <row r="8" spans="1:1023" ht="51" x14ac:dyDescent="0.2">
      <c r="A8" s="11" t="s">
        <v>152</v>
      </c>
      <c r="B8" s="12" t="s">
        <v>152</v>
      </c>
      <c r="C8" s="11" t="s">
        <v>446</v>
      </c>
      <c r="D8" s="11">
        <v>42</v>
      </c>
      <c r="E8" s="11" t="s">
        <v>460</v>
      </c>
      <c r="F8" s="11"/>
      <c r="G8" s="11">
        <v>42</v>
      </c>
      <c r="H8" s="11" t="s">
        <v>461</v>
      </c>
      <c r="I8" s="11" t="s">
        <v>462</v>
      </c>
      <c r="J8" s="11"/>
      <c r="K8" s="11"/>
      <c r="L8" s="11" t="s">
        <v>445</v>
      </c>
      <c r="M8" s="11">
        <v>2</v>
      </c>
      <c r="AMH8" s="15"/>
      <c r="AMI8" s="15"/>
    </row>
    <row r="9" spans="1:1023" ht="25.5" x14ac:dyDescent="0.2">
      <c r="A9" s="11" t="s">
        <v>154</v>
      </c>
      <c r="B9" s="11" t="s">
        <v>154</v>
      </c>
      <c r="C9" s="11" t="s">
        <v>463</v>
      </c>
      <c r="D9" s="11">
        <v>42</v>
      </c>
      <c r="E9" s="11" t="s">
        <v>442</v>
      </c>
      <c r="F9" s="11"/>
      <c r="G9" s="11"/>
      <c r="H9" s="11" t="s">
        <v>464</v>
      </c>
      <c r="I9" s="11" t="s">
        <v>157</v>
      </c>
      <c r="J9" s="11"/>
      <c r="K9" s="11"/>
      <c r="L9" s="11" t="s">
        <v>156</v>
      </c>
      <c r="M9" s="11">
        <v>1</v>
      </c>
      <c r="AMH9" s="15"/>
      <c r="AMI9" s="15"/>
    </row>
    <row r="10" spans="1:1023" ht="76.5" x14ac:dyDescent="0.2">
      <c r="A10" s="11" t="s">
        <v>158</v>
      </c>
      <c r="B10" s="11" t="s">
        <v>158</v>
      </c>
      <c r="C10" s="11" t="s">
        <v>441</v>
      </c>
      <c r="D10" s="11">
        <v>42</v>
      </c>
      <c r="E10" s="11" t="s">
        <v>447</v>
      </c>
      <c r="F10" s="11"/>
      <c r="G10" s="11">
        <v>42</v>
      </c>
      <c r="H10" s="11" t="s">
        <v>465</v>
      </c>
      <c r="I10" s="11" t="s">
        <v>158</v>
      </c>
      <c r="J10" s="11"/>
      <c r="K10" s="11"/>
      <c r="L10" s="11" t="s">
        <v>451</v>
      </c>
      <c r="M10" s="11">
        <v>3</v>
      </c>
      <c r="AMH10" s="15"/>
      <c r="AMI10" s="15"/>
    </row>
    <row r="11" spans="1:1023" ht="51" x14ac:dyDescent="0.2">
      <c r="A11" s="11" t="s">
        <v>161</v>
      </c>
      <c r="B11" s="11" t="s">
        <v>466</v>
      </c>
      <c r="C11" s="11" t="s">
        <v>463</v>
      </c>
      <c r="D11" s="18">
        <v>42</v>
      </c>
      <c r="E11" s="11" t="s">
        <v>442</v>
      </c>
      <c r="F11" s="11"/>
      <c r="G11" s="11"/>
      <c r="H11" s="11" t="s">
        <v>467</v>
      </c>
      <c r="I11" s="11" t="s">
        <v>164</v>
      </c>
      <c r="J11" s="11"/>
      <c r="K11" s="11"/>
      <c r="L11" s="11" t="s">
        <v>242</v>
      </c>
      <c r="M11" s="11">
        <v>1</v>
      </c>
      <c r="AMH11" s="15"/>
      <c r="AMI11" s="15"/>
    </row>
    <row r="12" spans="1:1023" ht="38.25" x14ac:dyDescent="0.2">
      <c r="A12" s="11" t="s">
        <v>165</v>
      </c>
      <c r="B12" s="11" t="s">
        <v>165</v>
      </c>
      <c r="C12" s="11" t="s">
        <v>457</v>
      </c>
      <c r="D12" s="11">
        <v>42</v>
      </c>
      <c r="E12" s="11" t="s">
        <v>442</v>
      </c>
      <c r="F12" s="11"/>
      <c r="G12" s="11"/>
      <c r="H12" s="11" t="s">
        <v>468</v>
      </c>
      <c r="I12" s="11" t="s">
        <v>168</v>
      </c>
      <c r="J12" s="11"/>
      <c r="K12" s="11"/>
      <c r="L12" s="18" t="s">
        <v>85</v>
      </c>
      <c r="M12" s="18">
        <v>1</v>
      </c>
      <c r="AMH12" s="15"/>
      <c r="AMI12" s="15"/>
    </row>
    <row r="13" spans="1:1023" ht="25.5" x14ac:dyDescent="0.2">
      <c r="A13" s="11" t="s">
        <v>208</v>
      </c>
      <c r="B13" s="11" t="s">
        <v>208</v>
      </c>
      <c r="C13" s="11" t="s">
        <v>463</v>
      </c>
      <c r="D13" s="18">
        <v>42</v>
      </c>
      <c r="E13" s="11" t="s">
        <v>442</v>
      </c>
      <c r="F13" s="11"/>
      <c r="G13" s="11"/>
      <c r="H13" s="11" t="s">
        <v>469</v>
      </c>
      <c r="I13" s="11" t="s">
        <v>211</v>
      </c>
      <c r="J13" s="11"/>
      <c r="K13" s="19"/>
      <c r="L13" s="20" t="s">
        <v>210</v>
      </c>
      <c r="M13" s="20">
        <v>1</v>
      </c>
      <c r="AMH13" s="15"/>
      <c r="AMI13" s="15"/>
    </row>
    <row r="14" spans="1:1023" ht="25.5" x14ac:dyDescent="0.2">
      <c r="A14" s="11" t="s">
        <v>240</v>
      </c>
      <c r="B14" s="11" t="s">
        <v>470</v>
      </c>
      <c r="C14" s="11" t="s">
        <v>453</v>
      </c>
      <c r="D14" s="11">
        <v>42</v>
      </c>
      <c r="E14" s="11" t="s">
        <v>442</v>
      </c>
      <c r="F14" s="11"/>
      <c r="G14" s="11"/>
      <c r="H14" s="11" t="s">
        <v>471</v>
      </c>
      <c r="I14" s="18" t="s">
        <v>243</v>
      </c>
      <c r="J14" s="11"/>
      <c r="K14" s="19"/>
      <c r="L14" s="20" t="s">
        <v>242</v>
      </c>
      <c r="M14" s="20">
        <v>1</v>
      </c>
      <c r="AMH14" s="15"/>
      <c r="AMI14" s="15"/>
    </row>
    <row r="15" spans="1:1023" ht="89.25" x14ac:dyDescent="0.2">
      <c r="A15" s="18" t="s">
        <v>264</v>
      </c>
      <c r="B15" s="18" t="s">
        <v>264</v>
      </c>
      <c r="C15" s="18" t="s">
        <v>453</v>
      </c>
      <c r="D15" s="18">
        <v>42</v>
      </c>
      <c r="E15" s="18" t="s">
        <v>442</v>
      </c>
      <c r="F15" s="18"/>
      <c r="G15" s="18"/>
      <c r="H15" s="21" t="s">
        <v>472</v>
      </c>
      <c r="I15" s="22" t="s">
        <v>264</v>
      </c>
      <c r="J15" s="23"/>
      <c r="K15" s="18"/>
      <c r="L15" s="24" t="s">
        <v>473</v>
      </c>
      <c r="M15" s="24">
        <v>3</v>
      </c>
      <c r="AMH15" s="15"/>
      <c r="AMI15" s="15"/>
    </row>
    <row r="16" spans="1:1023" ht="51" x14ac:dyDescent="0.2">
      <c r="A16" s="20" t="s">
        <v>301</v>
      </c>
      <c r="B16" s="20" t="s">
        <v>301</v>
      </c>
      <c r="C16" s="20" t="s">
        <v>446</v>
      </c>
      <c r="D16" s="11">
        <v>42</v>
      </c>
      <c r="E16" s="20" t="s">
        <v>447</v>
      </c>
      <c r="F16" s="20"/>
      <c r="G16" s="20">
        <v>42</v>
      </c>
      <c r="H16" s="20" t="s">
        <v>474</v>
      </c>
      <c r="I16" s="20" t="s">
        <v>303</v>
      </c>
      <c r="J16" s="20"/>
      <c r="K16" s="20"/>
      <c r="L16" s="20" t="s">
        <v>445</v>
      </c>
      <c r="M16" s="20">
        <v>2</v>
      </c>
      <c r="AMH16" s="15"/>
      <c r="AMI16" s="15"/>
    </row>
    <row r="17" spans="1:1023" s="28" customFormat="1" ht="25.5" x14ac:dyDescent="0.2">
      <c r="A17" s="20" t="s">
        <v>475</v>
      </c>
      <c r="B17" s="20" t="s">
        <v>476</v>
      </c>
      <c r="C17" s="20" t="s">
        <v>457</v>
      </c>
      <c r="D17" s="25">
        <v>42</v>
      </c>
      <c r="E17" s="20" t="s">
        <v>442</v>
      </c>
      <c r="F17" s="20"/>
      <c r="G17" s="20"/>
      <c r="H17" s="20" t="s">
        <v>477</v>
      </c>
      <c r="I17" s="20" t="s">
        <v>282</v>
      </c>
      <c r="J17" s="26"/>
      <c r="K17" s="26"/>
      <c r="L17" s="20" t="s">
        <v>85</v>
      </c>
      <c r="M17" s="20">
        <v>1</v>
      </c>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c r="FL17" s="27"/>
      <c r="FM17" s="27"/>
      <c r="FN17" s="27"/>
      <c r="FO17" s="27"/>
      <c r="FP17" s="27"/>
      <c r="FQ17" s="27"/>
      <c r="FR17" s="27"/>
      <c r="FS17" s="27"/>
      <c r="FT17" s="27"/>
      <c r="FU17" s="27"/>
      <c r="FV17" s="27"/>
      <c r="FW17" s="27"/>
      <c r="FX17" s="27"/>
      <c r="FY17" s="27"/>
      <c r="FZ17" s="27"/>
      <c r="GA17" s="27"/>
      <c r="GB17" s="27"/>
      <c r="GC17" s="27"/>
      <c r="GD17" s="27"/>
      <c r="GE17" s="27"/>
      <c r="GF17" s="27"/>
      <c r="GG17" s="27"/>
      <c r="GH17" s="27"/>
      <c r="GI17" s="27"/>
      <c r="GJ17" s="27"/>
      <c r="GK17" s="27"/>
      <c r="GL17" s="27"/>
      <c r="GM17" s="27"/>
      <c r="GN17" s="27"/>
      <c r="GO17" s="27"/>
      <c r="GP17" s="27"/>
      <c r="GQ17" s="27"/>
      <c r="GR17" s="27"/>
      <c r="GS17" s="27"/>
      <c r="GT17" s="27"/>
      <c r="GU17" s="27"/>
      <c r="GV17" s="27"/>
      <c r="GW17" s="27"/>
      <c r="GX17" s="27"/>
      <c r="GY17" s="27"/>
      <c r="GZ17" s="27"/>
      <c r="HA17" s="27"/>
      <c r="HB17" s="27"/>
      <c r="HC17" s="27"/>
      <c r="HD17" s="27"/>
      <c r="HE17" s="27"/>
      <c r="HF17" s="27"/>
      <c r="HG17" s="27"/>
      <c r="HH17" s="27"/>
      <c r="HI17" s="27"/>
      <c r="HJ17" s="27"/>
      <c r="HK17" s="27"/>
      <c r="HL17" s="27"/>
      <c r="HM17" s="27"/>
      <c r="HN17" s="27"/>
      <c r="HO17" s="27"/>
      <c r="HP17" s="27"/>
      <c r="HQ17" s="27"/>
      <c r="HR17" s="27"/>
      <c r="HS17" s="27"/>
      <c r="HT17" s="27"/>
      <c r="HU17" s="27"/>
      <c r="HV17" s="27"/>
      <c r="HW17" s="27"/>
      <c r="HX17" s="27"/>
      <c r="HY17" s="27"/>
      <c r="HZ17" s="27"/>
      <c r="IA17" s="27"/>
      <c r="IB17" s="27"/>
      <c r="IC17" s="27"/>
      <c r="ID17" s="27"/>
      <c r="IE17" s="27"/>
      <c r="IF17" s="27"/>
      <c r="IG17" s="27"/>
      <c r="IH17" s="27"/>
      <c r="II17" s="27"/>
      <c r="IJ17" s="27"/>
      <c r="IK17" s="27"/>
      <c r="IL17" s="27"/>
      <c r="IM17" s="27"/>
      <c r="IN17" s="27"/>
      <c r="IO17" s="27"/>
      <c r="IP17" s="27"/>
      <c r="IQ17" s="27"/>
      <c r="IR17" s="27"/>
      <c r="IS17" s="27"/>
      <c r="IT17" s="27"/>
      <c r="IU17" s="27"/>
      <c r="IV17" s="27"/>
      <c r="IW17" s="27"/>
      <c r="IX17" s="27"/>
      <c r="IY17" s="27"/>
      <c r="IZ17" s="27"/>
      <c r="JA17" s="27"/>
      <c r="JB17" s="27"/>
      <c r="JC17" s="27"/>
      <c r="JD17" s="27"/>
      <c r="JE17" s="27"/>
      <c r="JF17" s="27"/>
      <c r="JG17" s="27"/>
      <c r="JH17" s="27"/>
      <c r="JI17" s="27"/>
      <c r="JJ17" s="27"/>
      <c r="JK17" s="27"/>
      <c r="JL17" s="27"/>
      <c r="JM17" s="27"/>
      <c r="JN17" s="27"/>
      <c r="JO17" s="27"/>
      <c r="JP17" s="27"/>
      <c r="JQ17" s="27"/>
      <c r="JR17" s="27"/>
      <c r="JS17" s="27"/>
      <c r="JT17" s="27"/>
      <c r="JU17" s="27"/>
      <c r="JV17" s="27"/>
      <c r="JW17" s="27"/>
      <c r="JX17" s="27"/>
      <c r="JY17" s="27"/>
      <c r="JZ17" s="27"/>
      <c r="KA17" s="27"/>
      <c r="KB17" s="27"/>
      <c r="KC17" s="27"/>
      <c r="KD17" s="27"/>
      <c r="KE17" s="27"/>
      <c r="KF17" s="27"/>
      <c r="KG17" s="27"/>
      <c r="KH17" s="27"/>
      <c r="KI17" s="27"/>
      <c r="KJ17" s="27"/>
      <c r="KK17" s="27"/>
      <c r="KL17" s="27"/>
      <c r="KM17" s="27"/>
      <c r="KN17" s="27"/>
      <c r="KO17" s="27"/>
      <c r="KP17" s="27"/>
      <c r="KQ17" s="27"/>
      <c r="KR17" s="27"/>
      <c r="KS17" s="27"/>
      <c r="KT17" s="27"/>
      <c r="KU17" s="27"/>
      <c r="KV17" s="27"/>
      <c r="KW17" s="27"/>
      <c r="KX17" s="27"/>
      <c r="KY17" s="27"/>
      <c r="KZ17" s="27"/>
      <c r="LA17" s="27"/>
      <c r="LB17" s="27"/>
      <c r="LC17" s="27"/>
      <c r="LD17" s="27"/>
      <c r="LE17" s="27"/>
      <c r="LF17" s="27"/>
      <c r="LG17" s="27"/>
      <c r="LH17" s="27"/>
      <c r="LI17" s="27"/>
      <c r="LJ17" s="27"/>
      <c r="LK17" s="27"/>
      <c r="LL17" s="27"/>
      <c r="LM17" s="27"/>
      <c r="LN17" s="27"/>
      <c r="LO17" s="27"/>
      <c r="LP17" s="27"/>
      <c r="LQ17" s="27"/>
      <c r="LR17" s="27"/>
      <c r="LS17" s="27"/>
      <c r="LT17" s="27"/>
      <c r="LU17" s="27"/>
      <c r="LV17" s="27"/>
      <c r="LW17" s="27"/>
      <c r="LX17" s="27"/>
      <c r="LY17" s="27"/>
      <c r="LZ17" s="27"/>
      <c r="MA17" s="27"/>
      <c r="MB17" s="27"/>
      <c r="MC17" s="27"/>
      <c r="MD17" s="27"/>
      <c r="ME17" s="27"/>
      <c r="MF17" s="27"/>
      <c r="MG17" s="27"/>
      <c r="MH17" s="27"/>
      <c r="MI17" s="27"/>
      <c r="MJ17" s="27"/>
      <c r="MK17" s="27"/>
      <c r="ML17" s="27"/>
      <c r="MM17" s="27"/>
      <c r="MN17" s="27"/>
      <c r="MO17" s="27"/>
      <c r="MP17" s="27"/>
      <c r="MQ17" s="27"/>
      <c r="MR17" s="27"/>
      <c r="MS17" s="27"/>
      <c r="MT17" s="27"/>
      <c r="MU17" s="27"/>
      <c r="MV17" s="27"/>
      <c r="MW17" s="27"/>
      <c r="MX17" s="27"/>
      <c r="MY17" s="27"/>
      <c r="MZ17" s="27"/>
      <c r="NA17" s="27"/>
      <c r="NB17" s="27"/>
      <c r="NC17" s="27"/>
      <c r="ND17" s="27"/>
      <c r="NE17" s="27"/>
      <c r="NF17" s="27"/>
      <c r="NG17" s="27"/>
      <c r="NH17" s="27"/>
      <c r="NI17" s="27"/>
      <c r="NJ17" s="27"/>
      <c r="NK17" s="27"/>
      <c r="NL17" s="27"/>
      <c r="NM17" s="27"/>
      <c r="NN17" s="27"/>
      <c r="NO17" s="27"/>
      <c r="NP17" s="27"/>
      <c r="NQ17" s="27"/>
      <c r="NR17" s="27"/>
      <c r="NS17" s="27"/>
      <c r="NT17" s="27"/>
      <c r="NU17" s="27"/>
      <c r="NV17" s="27"/>
      <c r="NW17" s="27"/>
      <c r="NX17" s="27"/>
      <c r="NY17" s="27"/>
      <c r="NZ17" s="27"/>
      <c r="OA17" s="27"/>
      <c r="OB17" s="27"/>
      <c r="OC17" s="27"/>
      <c r="OD17" s="27"/>
      <c r="OE17" s="27"/>
      <c r="OF17" s="27"/>
      <c r="OG17" s="27"/>
      <c r="OH17" s="27"/>
      <c r="OI17" s="27"/>
      <c r="OJ17" s="27"/>
      <c r="OK17" s="27"/>
      <c r="OL17" s="27"/>
      <c r="OM17" s="27"/>
      <c r="ON17" s="27"/>
      <c r="OO17" s="27"/>
      <c r="OP17" s="27"/>
      <c r="OQ17" s="27"/>
      <c r="OR17" s="27"/>
      <c r="OS17" s="27"/>
      <c r="OT17" s="27"/>
      <c r="OU17" s="27"/>
      <c r="OV17" s="27"/>
      <c r="OW17" s="27"/>
      <c r="OX17" s="27"/>
      <c r="OY17" s="27"/>
      <c r="OZ17" s="27"/>
      <c r="PA17" s="27"/>
      <c r="PB17" s="27"/>
      <c r="PC17" s="27"/>
      <c r="PD17" s="27"/>
      <c r="PE17" s="27"/>
      <c r="PF17" s="27"/>
      <c r="PG17" s="27"/>
      <c r="PH17" s="27"/>
      <c r="PI17" s="27"/>
      <c r="PJ17" s="27"/>
      <c r="PK17" s="27"/>
      <c r="PL17" s="27"/>
      <c r="PM17" s="27"/>
      <c r="PN17" s="27"/>
      <c r="PO17" s="27"/>
      <c r="PP17" s="27"/>
      <c r="PQ17" s="27"/>
      <c r="PR17" s="27"/>
      <c r="PS17" s="27"/>
      <c r="PT17" s="27"/>
      <c r="PU17" s="27"/>
      <c r="PV17" s="27"/>
      <c r="PW17" s="27"/>
      <c r="PX17" s="27"/>
      <c r="PY17" s="27"/>
      <c r="PZ17" s="27"/>
      <c r="QA17" s="27"/>
      <c r="QB17" s="27"/>
      <c r="QC17" s="27"/>
      <c r="QD17" s="27"/>
      <c r="QE17" s="27"/>
      <c r="QF17" s="27"/>
      <c r="QG17" s="27"/>
      <c r="QH17" s="27"/>
      <c r="QI17" s="27"/>
      <c r="QJ17" s="27"/>
      <c r="QK17" s="27"/>
      <c r="QL17" s="27"/>
      <c r="QM17" s="27"/>
      <c r="QN17" s="27"/>
      <c r="QO17" s="27"/>
      <c r="QP17" s="27"/>
      <c r="QQ17" s="27"/>
      <c r="QR17" s="27"/>
      <c r="QS17" s="27"/>
      <c r="QT17" s="27"/>
      <c r="QU17" s="27"/>
      <c r="QV17" s="27"/>
      <c r="QW17" s="27"/>
      <c r="QX17" s="27"/>
      <c r="QY17" s="27"/>
      <c r="QZ17" s="27"/>
      <c r="RA17" s="27"/>
      <c r="RB17" s="27"/>
      <c r="RC17" s="27"/>
      <c r="RD17" s="27"/>
      <c r="RE17" s="27"/>
      <c r="RF17" s="27"/>
      <c r="RG17" s="27"/>
      <c r="RH17" s="27"/>
      <c r="RI17" s="27"/>
      <c r="RJ17" s="27"/>
      <c r="RK17" s="27"/>
      <c r="RL17" s="27"/>
      <c r="RM17" s="27"/>
      <c r="RN17" s="27"/>
      <c r="RO17" s="27"/>
      <c r="RP17" s="27"/>
      <c r="RQ17" s="27"/>
      <c r="RR17" s="27"/>
      <c r="RS17" s="27"/>
      <c r="RT17" s="27"/>
      <c r="RU17" s="27"/>
      <c r="RV17" s="27"/>
      <c r="RW17" s="27"/>
      <c r="RX17" s="27"/>
      <c r="RY17" s="27"/>
      <c r="RZ17" s="27"/>
      <c r="SA17" s="27"/>
      <c r="SB17" s="27"/>
      <c r="SC17" s="27"/>
      <c r="SD17" s="27"/>
      <c r="SE17" s="27"/>
      <c r="SF17" s="27"/>
      <c r="SG17" s="27"/>
      <c r="SH17" s="27"/>
      <c r="SI17" s="27"/>
      <c r="SJ17" s="27"/>
      <c r="SK17" s="27"/>
      <c r="SL17" s="27"/>
      <c r="SM17" s="27"/>
      <c r="SN17" s="27"/>
      <c r="SO17" s="27"/>
      <c r="SP17" s="27"/>
      <c r="SQ17" s="27"/>
      <c r="SR17" s="27"/>
      <c r="SS17" s="27"/>
      <c r="ST17" s="27"/>
      <c r="SU17" s="27"/>
      <c r="SV17" s="27"/>
      <c r="SW17" s="27"/>
      <c r="SX17" s="27"/>
      <c r="SY17" s="27"/>
      <c r="SZ17" s="27"/>
      <c r="TA17" s="27"/>
      <c r="TB17" s="27"/>
      <c r="TC17" s="27"/>
      <c r="TD17" s="27"/>
      <c r="TE17" s="27"/>
      <c r="TF17" s="27"/>
      <c r="TG17" s="27"/>
      <c r="TH17" s="27"/>
      <c r="TI17" s="27"/>
      <c r="TJ17" s="27"/>
      <c r="TK17" s="27"/>
      <c r="TL17" s="27"/>
      <c r="TM17" s="27"/>
      <c r="TN17" s="27"/>
      <c r="TO17" s="27"/>
      <c r="TP17" s="27"/>
      <c r="TQ17" s="27"/>
      <c r="TR17" s="27"/>
      <c r="TS17" s="27"/>
      <c r="TT17" s="27"/>
      <c r="TU17" s="27"/>
      <c r="TV17" s="27"/>
      <c r="TW17" s="27"/>
      <c r="TX17" s="27"/>
      <c r="TY17" s="27"/>
      <c r="TZ17" s="27"/>
      <c r="UA17" s="27"/>
      <c r="UB17" s="27"/>
      <c r="UC17" s="27"/>
      <c r="UD17" s="27"/>
      <c r="UE17" s="27"/>
      <c r="UF17" s="27"/>
      <c r="UG17" s="27"/>
      <c r="UH17" s="27"/>
      <c r="UI17" s="27"/>
      <c r="UJ17" s="27"/>
      <c r="UK17" s="27"/>
      <c r="UL17" s="27"/>
      <c r="UM17" s="27"/>
      <c r="UN17" s="27"/>
      <c r="UO17" s="27"/>
      <c r="UP17" s="27"/>
      <c r="UQ17" s="27"/>
      <c r="UR17" s="27"/>
      <c r="US17" s="27"/>
      <c r="UT17" s="27"/>
      <c r="UU17" s="27"/>
      <c r="UV17" s="27"/>
      <c r="UW17" s="27"/>
      <c r="UX17" s="27"/>
      <c r="UY17" s="27"/>
      <c r="UZ17" s="27"/>
      <c r="VA17" s="27"/>
      <c r="VB17" s="27"/>
      <c r="VC17" s="27"/>
      <c r="VD17" s="27"/>
      <c r="VE17" s="27"/>
      <c r="VF17" s="27"/>
      <c r="VG17" s="27"/>
      <c r="VH17" s="27"/>
      <c r="VI17" s="27"/>
      <c r="VJ17" s="27"/>
      <c r="VK17" s="27"/>
      <c r="VL17" s="27"/>
      <c r="VM17" s="27"/>
      <c r="VN17" s="27"/>
      <c r="VO17" s="27"/>
      <c r="VP17" s="27"/>
      <c r="VQ17" s="27"/>
      <c r="VR17" s="27"/>
      <c r="VS17" s="27"/>
      <c r="VT17" s="27"/>
      <c r="VU17" s="27"/>
      <c r="VV17" s="27"/>
      <c r="VW17" s="27"/>
      <c r="VX17" s="27"/>
      <c r="VY17" s="27"/>
      <c r="VZ17" s="27"/>
      <c r="WA17" s="27"/>
      <c r="WB17" s="27"/>
      <c r="WC17" s="27"/>
      <c r="WD17" s="27"/>
      <c r="WE17" s="27"/>
      <c r="WF17" s="27"/>
      <c r="WG17" s="27"/>
      <c r="WH17" s="27"/>
      <c r="WI17" s="27"/>
      <c r="WJ17" s="27"/>
      <c r="WK17" s="27"/>
      <c r="WL17" s="27"/>
      <c r="WM17" s="27"/>
      <c r="WN17" s="27"/>
      <c r="WO17" s="27"/>
      <c r="WP17" s="27"/>
      <c r="WQ17" s="27"/>
      <c r="WR17" s="27"/>
      <c r="WS17" s="27"/>
      <c r="WT17" s="27"/>
      <c r="WU17" s="27"/>
      <c r="WV17" s="27"/>
      <c r="WW17" s="27"/>
      <c r="WX17" s="27"/>
      <c r="WY17" s="27"/>
      <c r="WZ17" s="27"/>
      <c r="XA17" s="27"/>
      <c r="XB17" s="27"/>
      <c r="XC17" s="27"/>
      <c r="XD17" s="27"/>
      <c r="XE17" s="27"/>
      <c r="XF17" s="27"/>
      <c r="XG17" s="27"/>
      <c r="XH17" s="27"/>
      <c r="XI17" s="27"/>
      <c r="XJ17" s="27"/>
      <c r="XK17" s="27"/>
      <c r="XL17" s="27"/>
      <c r="XM17" s="27"/>
      <c r="XN17" s="27"/>
      <c r="XO17" s="27"/>
      <c r="XP17" s="27"/>
      <c r="XQ17" s="27"/>
      <c r="XR17" s="27"/>
      <c r="XS17" s="27"/>
      <c r="XT17" s="27"/>
      <c r="XU17" s="27"/>
      <c r="XV17" s="27"/>
      <c r="XW17" s="27"/>
      <c r="XX17" s="27"/>
      <c r="XY17" s="27"/>
      <c r="XZ17" s="27"/>
      <c r="YA17" s="27"/>
      <c r="YB17" s="27"/>
      <c r="YC17" s="27"/>
      <c r="YD17" s="27"/>
      <c r="YE17" s="27"/>
      <c r="YF17" s="27"/>
      <c r="YG17" s="27"/>
      <c r="YH17" s="27"/>
      <c r="YI17" s="27"/>
      <c r="YJ17" s="27"/>
      <c r="YK17" s="27"/>
      <c r="YL17" s="27"/>
      <c r="YM17" s="27"/>
      <c r="YN17" s="27"/>
      <c r="YO17" s="27"/>
      <c r="YP17" s="27"/>
      <c r="YQ17" s="27"/>
      <c r="YR17" s="27"/>
      <c r="YS17" s="27"/>
      <c r="YT17" s="27"/>
      <c r="YU17" s="27"/>
      <c r="YV17" s="27"/>
      <c r="YW17" s="27"/>
      <c r="YX17" s="27"/>
      <c r="YY17" s="27"/>
      <c r="YZ17" s="27"/>
      <c r="ZA17" s="27"/>
      <c r="ZB17" s="27"/>
      <c r="ZC17" s="27"/>
      <c r="ZD17" s="27"/>
      <c r="ZE17" s="27"/>
      <c r="ZF17" s="27"/>
      <c r="ZG17" s="27"/>
      <c r="ZH17" s="27"/>
      <c r="ZI17" s="27"/>
      <c r="ZJ17" s="27"/>
      <c r="ZK17" s="27"/>
      <c r="ZL17" s="27"/>
      <c r="ZM17" s="27"/>
      <c r="ZN17" s="27"/>
      <c r="ZO17" s="27"/>
      <c r="ZP17" s="27"/>
      <c r="ZQ17" s="27"/>
      <c r="ZR17" s="27"/>
      <c r="ZS17" s="27"/>
      <c r="ZT17" s="27"/>
      <c r="ZU17" s="27"/>
      <c r="ZV17" s="27"/>
      <c r="ZW17" s="27"/>
      <c r="ZX17" s="27"/>
      <c r="ZY17" s="27"/>
      <c r="ZZ17" s="27"/>
      <c r="AAA17" s="27"/>
      <c r="AAB17" s="27"/>
      <c r="AAC17" s="27"/>
      <c r="AAD17" s="27"/>
      <c r="AAE17" s="27"/>
      <c r="AAF17" s="27"/>
      <c r="AAG17" s="27"/>
      <c r="AAH17" s="27"/>
      <c r="AAI17" s="27"/>
      <c r="AAJ17" s="27"/>
      <c r="AAK17" s="27"/>
      <c r="AAL17" s="27"/>
      <c r="AAM17" s="27"/>
      <c r="AAN17" s="27"/>
      <c r="AAO17" s="27"/>
      <c r="AAP17" s="27"/>
      <c r="AAQ17" s="27"/>
      <c r="AAR17" s="27"/>
      <c r="AAS17" s="27"/>
      <c r="AAT17" s="27"/>
      <c r="AAU17" s="27"/>
      <c r="AAV17" s="27"/>
      <c r="AAW17" s="27"/>
      <c r="AAX17" s="27"/>
      <c r="AAY17" s="27"/>
      <c r="AAZ17" s="27"/>
      <c r="ABA17" s="27"/>
      <c r="ABB17" s="27"/>
      <c r="ABC17" s="27"/>
      <c r="ABD17" s="27"/>
      <c r="ABE17" s="27"/>
      <c r="ABF17" s="27"/>
      <c r="ABG17" s="27"/>
      <c r="ABH17" s="27"/>
      <c r="ABI17" s="27"/>
      <c r="ABJ17" s="27"/>
      <c r="ABK17" s="27"/>
      <c r="ABL17" s="27"/>
      <c r="ABM17" s="27"/>
      <c r="ABN17" s="27"/>
      <c r="ABO17" s="27"/>
      <c r="ABP17" s="27"/>
      <c r="ABQ17" s="27"/>
      <c r="ABR17" s="27"/>
      <c r="ABS17" s="27"/>
      <c r="ABT17" s="27"/>
      <c r="ABU17" s="27"/>
      <c r="ABV17" s="27"/>
      <c r="ABW17" s="27"/>
      <c r="ABX17" s="27"/>
      <c r="ABY17" s="27"/>
      <c r="ABZ17" s="27"/>
      <c r="ACA17" s="27"/>
      <c r="ACB17" s="27"/>
      <c r="ACC17" s="27"/>
      <c r="ACD17" s="27"/>
      <c r="ACE17" s="27"/>
      <c r="ACF17" s="27"/>
      <c r="ACG17" s="27"/>
      <c r="ACH17" s="27"/>
      <c r="ACI17" s="27"/>
      <c r="ACJ17" s="27"/>
      <c r="ACK17" s="27"/>
      <c r="ACL17" s="27"/>
      <c r="ACM17" s="27"/>
      <c r="ACN17" s="27"/>
      <c r="ACO17" s="27"/>
      <c r="ACP17" s="27"/>
      <c r="ACQ17" s="27"/>
      <c r="ACR17" s="27"/>
      <c r="ACS17" s="27"/>
      <c r="ACT17" s="27"/>
      <c r="ACU17" s="27"/>
      <c r="ACV17" s="27"/>
      <c r="ACW17" s="27"/>
      <c r="ACX17" s="27"/>
      <c r="ACY17" s="27"/>
      <c r="ACZ17" s="27"/>
      <c r="ADA17" s="27"/>
      <c r="ADB17" s="27"/>
      <c r="ADC17" s="27"/>
      <c r="ADD17" s="27"/>
      <c r="ADE17" s="27"/>
      <c r="ADF17" s="27"/>
      <c r="ADG17" s="27"/>
      <c r="ADH17" s="27"/>
      <c r="ADI17" s="27"/>
      <c r="ADJ17" s="27"/>
      <c r="ADK17" s="27"/>
      <c r="ADL17" s="27"/>
      <c r="ADM17" s="27"/>
      <c r="ADN17" s="27"/>
      <c r="ADO17" s="27"/>
      <c r="ADP17" s="27"/>
      <c r="ADQ17" s="27"/>
      <c r="ADR17" s="27"/>
      <c r="ADS17" s="27"/>
      <c r="ADT17" s="27"/>
      <c r="ADU17" s="27"/>
      <c r="ADV17" s="27"/>
      <c r="ADW17" s="27"/>
      <c r="ADX17" s="27"/>
      <c r="ADY17" s="27"/>
      <c r="ADZ17" s="27"/>
      <c r="AEA17" s="27"/>
      <c r="AEB17" s="27"/>
      <c r="AEC17" s="27"/>
      <c r="AED17" s="27"/>
      <c r="AEE17" s="27"/>
      <c r="AEF17" s="27"/>
      <c r="AEG17" s="27"/>
      <c r="AEH17" s="27"/>
      <c r="AEI17" s="27"/>
      <c r="AEJ17" s="27"/>
      <c r="AEK17" s="27"/>
      <c r="AEL17" s="27"/>
      <c r="AEM17" s="27"/>
      <c r="AEN17" s="27"/>
      <c r="AEO17" s="27"/>
      <c r="AEP17" s="27"/>
      <c r="AEQ17" s="27"/>
      <c r="AER17" s="27"/>
      <c r="AES17" s="27"/>
      <c r="AET17" s="27"/>
      <c r="AEU17" s="27"/>
      <c r="AEV17" s="27"/>
      <c r="AEW17" s="27"/>
      <c r="AEX17" s="27"/>
      <c r="AEY17" s="27"/>
      <c r="AEZ17" s="27"/>
      <c r="AFA17" s="27"/>
      <c r="AFB17" s="27"/>
      <c r="AFC17" s="27"/>
      <c r="AFD17" s="27"/>
      <c r="AFE17" s="27"/>
      <c r="AFF17" s="27"/>
      <c r="AFG17" s="27"/>
      <c r="AFH17" s="27"/>
      <c r="AFI17" s="27"/>
      <c r="AFJ17" s="27"/>
      <c r="AFK17" s="27"/>
      <c r="AFL17" s="27"/>
      <c r="AFM17" s="27"/>
      <c r="AFN17" s="27"/>
      <c r="AFO17" s="27"/>
      <c r="AFP17" s="27"/>
      <c r="AFQ17" s="27"/>
      <c r="AFR17" s="27"/>
      <c r="AFS17" s="27"/>
      <c r="AFT17" s="27"/>
      <c r="AFU17" s="27"/>
      <c r="AFV17" s="27"/>
      <c r="AFW17" s="27"/>
      <c r="AFX17" s="27"/>
      <c r="AFY17" s="27"/>
      <c r="AFZ17" s="27"/>
      <c r="AGA17" s="27"/>
      <c r="AGB17" s="27"/>
      <c r="AGC17" s="27"/>
      <c r="AGD17" s="27"/>
      <c r="AGE17" s="27"/>
      <c r="AGF17" s="27"/>
      <c r="AGG17" s="27"/>
      <c r="AGH17" s="27"/>
      <c r="AGI17" s="27"/>
      <c r="AGJ17" s="27"/>
      <c r="AGK17" s="27"/>
      <c r="AGL17" s="27"/>
      <c r="AGM17" s="27"/>
      <c r="AGN17" s="27"/>
      <c r="AGO17" s="27"/>
      <c r="AGP17" s="27"/>
      <c r="AGQ17" s="27"/>
      <c r="AGR17" s="27"/>
      <c r="AGS17" s="27"/>
      <c r="AGT17" s="27"/>
      <c r="AGU17" s="27"/>
      <c r="AGV17" s="27"/>
      <c r="AGW17" s="27"/>
      <c r="AGX17" s="27"/>
      <c r="AGY17" s="27"/>
      <c r="AGZ17" s="27"/>
      <c r="AHA17" s="27"/>
      <c r="AHB17" s="27"/>
      <c r="AHC17" s="27"/>
      <c r="AHD17" s="27"/>
      <c r="AHE17" s="27"/>
      <c r="AHF17" s="27"/>
      <c r="AHG17" s="27"/>
      <c r="AHH17" s="27"/>
      <c r="AHI17" s="27"/>
      <c r="AHJ17" s="27"/>
      <c r="AHK17" s="27"/>
      <c r="AHL17" s="27"/>
      <c r="AHM17" s="27"/>
      <c r="AHN17" s="27"/>
      <c r="AHO17" s="27"/>
      <c r="AHP17" s="27"/>
      <c r="AHQ17" s="27"/>
      <c r="AHR17" s="27"/>
      <c r="AHS17" s="27"/>
      <c r="AHT17" s="27"/>
      <c r="AHU17" s="27"/>
      <c r="AHV17" s="27"/>
      <c r="AHW17" s="27"/>
      <c r="AHX17" s="27"/>
      <c r="AHY17" s="27"/>
      <c r="AHZ17" s="27"/>
      <c r="AIA17" s="27"/>
      <c r="AIB17" s="27"/>
      <c r="AIC17" s="27"/>
      <c r="AID17" s="27"/>
      <c r="AIE17" s="27"/>
      <c r="AIF17" s="27"/>
      <c r="AIG17" s="27"/>
      <c r="AIH17" s="27"/>
      <c r="AII17" s="27"/>
      <c r="AIJ17" s="27"/>
      <c r="AIK17" s="27"/>
      <c r="AIL17" s="27"/>
      <c r="AIM17" s="27"/>
      <c r="AIN17" s="27"/>
      <c r="AIO17" s="27"/>
      <c r="AIP17" s="27"/>
      <c r="AIQ17" s="27"/>
      <c r="AIR17" s="27"/>
      <c r="AIS17" s="27"/>
      <c r="AIT17" s="27"/>
      <c r="AIU17" s="27"/>
      <c r="AIV17" s="27"/>
      <c r="AIW17" s="27"/>
      <c r="AIX17" s="27"/>
      <c r="AIY17" s="27"/>
      <c r="AIZ17" s="27"/>
      <c r="AJA17" s="27"/>
      <c r="AJB17" s="27"/>
      <c r="AJC17" s="27"/>
      <c r="AJD17" s="27"/>
      <c r="AJE17" s="27"/>
      <c r="AJF17" s="27"/>
      <c r="AJG17" s="27"/>
      <c r="AJH17" s="27"/>
      <c r="AJI17" s="27"/>
      <c r="AJJ17" s="27"/>
      <c r="AJK17" s="27"/>
      <c r="AJL17" s="27"/>
      <c r="AJM17" s="27"/>
      <c r="AJN17" s="27"/>
      <c r="AJO17" s="27"/>
      <c r="AJP17" s="27"/>
      <c r="AJQ17" s="27"/>
      <c r="AJR17" s="27"/>
      <c r="AJS17" s="27"/>
      <c r="AJT17" s="27"/>
      <c r="AJU17" s="27"/>
      <c r="AJV17" s="27"/>
      <c r="AJW17" s="27"/>
      <c r="AJX17" s="27"/>
      <c r="AJY17" s="27"/>
      <c r="AJZ17" s="27"/>
      <c r="AKA17" s="27"/>
      <c r="AKB17" s="27"/>
      <c r="AKC17" s="27"/>
      <c r="AKD17" s="27"/>
      <c r="AKE17" s="27"/>
      <c r="AKF17" s="27"/>
      <c r="AKG17" s="27"/>
      <c r="AKH17" s="27"/>
      <c r="AKI17" s="27"/>
      <c r="AKJ17" s="27"/>
      <c r="AKK17" s="27"/>
      <c r="AKL17" s="27"/>
      <c r="AKM17" s="27"/>
      <c r="AKN17" s="27"/>
      <c r="AKO17" s="27"/>
      <c r="AKP17" s="27"/>
      <c r="AKQ17" s="27"/>
      <c r="AKR17" s="27"/>
      <c r="AKS17" s="27"/>
      <c r="AKT17" s="27"/>
      <c r="AKU17" s="27"/>
      <c r="AKV17" s="27"/>
      <c r="AKW17" s="27"/>
      <c r="AKX17" s="27"/>
      <c r="AKY17" s="27"/>
      <c r="AKZ17" s="27"/>
      <c r="ALA17" s="27"/>
      <c r="ALB17" s="27"/>
      <c r="ALC17" s="27"/>
      <c r="ALD17" s="27"/>
      <c r="ALE17" s="27"/>
      <c r="ALF17" s="27"/>
      <c r="ALG17" s="27"/>
      <c r="ALH17" s="27"/>
      <c r="ALI17" s="27"/>
      <c r="ALJ17" s="27"/>
      <c r="ALK17" s="27"/>
      <c r="ALL17" s="27"/>
      <c r="ALM17" s="27"/>
      <c r="ALN17" s="27"/>
      <c r="ALO17" s="27"/>
      <c r="ALP17" s="27"/>
      <c r="ALQ17" s="27"/>
      <c r="ALR17" s="27"/>
      <c r="ALS17" s="27"/>
      <c r="ALT17" s="27"/>
      <c r="ALU17" s="27"/>
      <c r="ALV17" s="27"/>
      <c r="ALW17" s="27"/>
      <c r="ALX17" s="27"/>
      <c r="ALY17" s="27"/>
      <c r="ALZ17" s="27"/>
      <c r="AMA17" s="27"/>
      <c r="AMB17" s="27"/>
      <c r="AMC17" s="27"/>
      <c r="AMD17" s="27"/>
      <c r="AME17" s="27"/>
      <c r="AMF17" s="27"/>
      <c r="AMG17" s="27"/>
    </row>
    <row r="18" spans="1:1023" x14ac:dyDescent="0.2">
      <c r="AMH18" s="15"/>
      <c r="AMI18" s="15"/>
    </row>
    <row r="19" spans="1:1023" x14ac:dyDescent="0.2">
      <c r="AMH19" s="15"/>
      <c r="AMI19" s="15"/>
    </row>
  </sheetData>
  <autoFilter ref="A2:AMI19" xr:uid="{00000000-0001-0000-0300-000000000000}"/>
  <mergeCells count="1">
    <mergeCell ref="A1:F1"/>
  </mergeCells>
  <pageMargins left="0" right="0" top="0.39370078740157483" bottom="0.39370078740157483" header="0" footer="0"/>
  <pageSetup paperSize="9" orientation="portrait" verticalDpi="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Props1.xml><?xml version="1.0" encoding="utf-8"?>
<ds:datastoreItem xmlns:ds="http://schemas.openxmlformats.org/officeDocument/2006/customXml" ds:itemID="{0C878447-30E8-43CE-8D30-A9C21156BEED}">
  <ds:schemaRefs>
    <ds:schemaRef ds:uri="http://schemas.microsoft.com/sharepoint/v3/contenttype/forms"/>
  </ds:schemaRefs>
</ds:datastoreItem>
</file>

<file path=customXml/itemProps2.xml><?xml version="1.0" encoding="utf-8"?>
<ds:datastoreItem xmlns:ds="http://schemas.openxmlformats.org/officeDocument/2006/customXml" ds:itemID="{B3C52C3A-49A9-4A1D-96DC-E2D7C92167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79d546-6df6-42fe-9fc4-ce0f23b99d99"/>
    <ds:schemaRef ds:uri="bb9dad94-8ba3-42aa-94b4-e7db833c08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D57E24-D5F9-405D-80D0-962357BD00E7}">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Zaaktypecatalogus</vt:lpstr>
      <vt:lpstr>Zaaktypen</vt:lpstr>
      <vt:lpstr>Informatieobjecttypen</vt:lpstr>
      <vt:lpstr>Besluittypen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Jansen</dc:creator>
  <cp:keywords/>
  <dc:description/>
  <cp:lastModifiedBy>Paul Jansen</cp:lastModifiedBy>
  <cp:revision>9</cp:revision>
  <dcterms:created xsi:type="dcterms:W3CDTF">2020-11-30T08:14:04Z</dcterms:created>
  <dcterms:modified xsi:type="dcterms:W3CDTF">2025-12-18T10:28:08Z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