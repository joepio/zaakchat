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1_8/"/>
    </mc:Choice>
  </mc:AlternateContent>
  <xr:revisionPtr revIDLastSave="424" documentId="13_ncr:1_{EEC39760-44EB-4E13-950C-64BE8228A98A}" xr6:coauthVersionLast="47" xr6:coauthVersionMax="47" xr10:uidLastSave="{6C950A13-C9A7-46EC-BE33-6402FA54378B}"/>
  <bookViews>
    <workbookView xWindow="-120" yWindow="-16320" windowWidth="29040" windowHeight="15720"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<sst xmlns="http://schemas.openxmlformats.org/spreadsheetml/2006/main" count="499" uniqueCount="315">
  <si>
    <t>Kenmerk</t>
  </si>
  <si>
    <t>Waarde</t>
  </si>
  <si>
    <t>IDENTIFICATIE</t>
  </si>
  <si>
    <t>OMSCHRIJVING</t>
  </si>
  <si>
    <t>Advies verstrekken (informeel)</t>
  </si>
  <si>
    <t>CATEGORIE</t>
  </si>
  <si>
    <t>Adviseren</t>
  </si>
  <si>
    <t>DOEL</t>
  </si>
  <si>
    <t xml:space="preserve">Het (vroegtijdig) inbrengen van kennis, inzicht of mogelijk toekomstige beoordeling van plannen, aanvragen e.d.. De nadruk ligt er op dat het een toetsbaar plan niveau heeft, zoals dat is bedoeld in een conceptverzoek. Dit zaaktype is niet bedoeld voor verkenning en begeleiding van een initatiefverzoek. Wel kan het hierbij een bijdrage leveren. Afhankelijk van de werkafspraken rondom ketensamenwerking, kan de keuzen van de organisatie zijn om dit zaakttype op te splitsen in 1 zaaktype voor interne advisering en ketensamenwerking en 1 zaaktype voor advisering aan burgers en bedrijven. </t>
  </si>
  <si>
    <t>AANLEIDING</t>
  </si>
  <si>
    <t>Een burger, bedrijf of andere overheidsorganisatie verzoekt om de inbreng van expertise of de eigen organisatie verzoekt om de inbreng van expertise (advies op projectplan), waarbij die inbreng vanuit een zelfstandige zaak geleverd wordt.</t>
  </si>
  <si>
    <t>TOELICHTING</t>
  </si>
  <si>
    <t>Een informeel advies is richtinggevend en vrijblijvend en heeft geen wettelijke basis, in tegenstelling tot een zaak van het type "Advies verstrekken", waarbij het advies gebaseerd is op wettelijke bevoegdheden en waarvan de uitkomsten niet vrijblijvend zijn.
Het informeel advies kan bijvoorbeeld betreffen:
- het conceptverzoek / vooradvies zoals dat veelal voorafgaat aan de aanvraag voor een vergunning of de indiening van een melding activiteit.
- de beoordeling van stedenbouwkundige plannen, inrichtingsschetsen e.d. in het kader van het toetsen van (ontwerp) ruimtelijk plan.
- een intern advies: interne advisering betreft met name de inbreng van expertise ten behoeve van beleidsontwikkeling, beheer/onderhoud en uitvoeringsprojecten.
Eventuele verlenging van de doorlooptijd is situatie-afhankelijk maar veelal n.v.t.</t>
  </si>
  <si>
    <t>INITIATIE INTERN OF EXTERN</t>
  </si>
  <si>
    <t>Extern</t>
  </si>
  <si>
    <t>HANDELING INITIATOR</t>
  </si>
  <si>
    <t>Aanvragen</t>
  </si>
  <si>
    <t>ONDERWERP</t>
  </si>
  <si>
    <t>Advies (informeel)</t>
  </si>
  <si>
    <t>HANDELING BEHANDELAAR</t>
  </si>
  <si>
    <t>Verstrekken</t>
  </si>
  <si>
    <t>DOORLOOPTIJD BEHANDELING (KALENDERDAGEN) (2.1)</t>
  </si>
  <si>
    <t>- DOORLOOPTIJD - PERIODE-EENHEID (2.2)</t>
  </si>
  <si>
    <t>- DOORLOOPTIJD - PERIODEDUUR (2.2)</t>
  </si>
  <si>
    <t>SERVICENORM BEHANDELING (KALENDERDAGEN) (2.1)</t>
  </si>
  <si>
    <t>week</t>
  </si>
  <si>
    <t>OPSCHORTING / AANHOUDING MOGELIJK</t>
  </si>
  <si>
    <t>Nee</t>
  </si>
  <si>
    <t>VERLENGING MOGELIJK</t>
  </si>
  <si>
    <t>Ja</t>
  </si>
  <si>
    <t>VERLENGINGSTERMIJN</t>
  </si>
  <si>
    <t>TREFWOORDEN</t>
  </si>
  <si>
    <t>advies</t>
  </si>
  <si>
    <t>VERTROUWELIJKHEIDAANDUIDING</t>
  </si>
  <si>
    <t>Openbaar</t>
  </si>
  <si>
    <t>VERANTWOORDELIJKE</t>
  </si>
  <si>
    <t>PUBLICATIE-INDICATIE</t>
  </si>
  <si>
    <t>PUBLICATIETEKST</t>
  </si>
  <si>
    <t>PRODUCT / DIENST:</t>
  </si>
  <si>
    <t>- NAAM</t>
  </si>
  <si>
    <t>ADV - Advies conform snelformule (bijvoorbeeld Welstandsadvies of Omgevingsplantoets)</t>
  </si>
  <si>
    <t>- LINK</t>
  </si>
  <si>
    <t>REFERENTIEPROCES:</t>
  </si>
  <si>
    <t>VERANTWOORDINGSRELATIE</t>
  </si>
  <si>
    <t>ARCHIEFCLASSIFICATIE:</t>
  </si>
  <si>
    <t>- BRON</t>
  </si>
  <si>
    <t>- CODE</t>
  </si>
  <si>
    <t>- INDICATIE ZTC</t>
  </si>
  <si>
    <t>SELECTIELIJST PROCESTYPE:</t>
  </si>
  <si>
    <t>- NUMMER</t>
  </si>
  <si>
    <t>- PROCESOBJECTTYPE</t>
  </si>
  <si>
    <t>- SELECTIELIJST 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</si>
  <si>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</si>
  <si>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</si>
  <si>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</si>
  <si>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</si>
  <si>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</si>
  <si>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</si>
  <si>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</si>
  <si>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</si>
  <si>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</si>
  <si>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</si>
  <si>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</si>
  <si>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</si>
  <si>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</si>
  <si>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</si>
  <si>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</si>
  <si>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</si>
  <si>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</si>
  <si>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Er is - al dan niet geautomatiseerd - een bewijs van ontvangst verzonden.</t>
  </si>
  <si>
    <t>2</t>
  </si>
  <si>
    <t>Intake afgerond</t>
  </si>
  <si>
    <t>De zaak is geregistreerd.
Allereerst is beoordeeld of de zaakbehandelende organisatie bevoegd en/of geëquipeerd is - op grond van wet- en regelgeving of specialistische deskundigheid - te adviseren. Zo ja, dan is de zaak toegewezen aan de behandelend medewerker of het behandelend organisatieonderdeel. Als de zaak niet kan worden behandeld door de zaakbehandelende organisatie, wordt status 3 pro forma doorlopen en bevat het adviesrapport (status 4) deze constatering.</t>
  </si>
  <si>
    <t>Adviesaanvraag
Ontvangstbevestiging</t>
  </si>
  <si>
    <t>3</t>
  </si>
  <si>
    <t>Inhoudelijk behandeld</t>
  </si>
  <si>
    <t>De van de adviesaanvraag deel uitmakende informatie is getoetst aan relevante regelgeving en (vastgesteld) beleid. Waar nodig zijn interne en/of externe specialisten en/of andere overheden betrokken bij deze toetsing. Eventuele deeladviezen zijn ontvangen. Het adviesrapport is in concept opgesteld. Van elk overleg is een verslag gemaakt. Indien van toepassing is de beoordeling op schrift gesteld (het adviesrapport).</t>
  </si>
  <si>
    <t>Samenloop</t>
  </si>
  <si>
    <t>4</t>
  </si>
  <si>
    <t>Zaak afgerond</t>
  </si>
  <si>
    <t>Het adviesrapport is ter beschikking gesteld aan de aanvrager en de zaak is afgesloten en gearchiveerd. Als de adviesaanvrager een andere overheidsorganisatie is, is er een gerelateerde zaak aangemaakt waarmee wordt bewaakt dat de beschikking waaraan het advies een bijdrage heeft geleverd, is ontvangen van de adviesaanvrager.</t>
  </si>
  <si>
    <t>Uitkomst advies</t>
  </si>
  <si>
    <t>Statustype</t>
  </si>
  <si>
    <t>Itemnaam</t>
  </si>
  <si>
    <t>Vraagstelling</t>
  </si>
  <si>
    <t>Verplicht</t>
  </si>
  <si>
    <t>1 - Registratie</t>
  </si>
  <si>
    <t>Is de aanvraag geregistreerd als nieuwe zaak?</t>
  </si>
  <si>
    <t>Direct na ontvangst van de Adviesaanvraag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</si>
  <si>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Ontvangstbevestiging</t>
  </si>
  <si>
    <t>Is een ontvangstbevestiging verzonden?</t>
  </si>
  <si>
    <t>Na ontvangst van een adviesaanvraag wordt een ontvangstbevestiging verzonden, waarin de dag van ontvangst van de adviesaanvraag is vermeld.</t>
  </si>
  <si>
    <t>1 - Juiste zaakbehandelende organisatie</t>
  </si>
  <si>
    <t>Is de zaakbehandelende organisatie bevoegd de zaak te behandelen?</t>
  </si>
  <si>
    <t>Beoordeeld wordt of de zaakbehandelende organisatie de zaak kan behandelen, hetzij omdat de zaakbehandelende organisatie daartoe bevoegd is (organisatie is bevoegd gezag of wettelijk adviseur, afdeling 3.3 Algemene wet bestuursrecht, § 2.5 Wet algemene bepalingen omgevingsrecht, art. 16.11, art. 16.15 en art 16.6 Omgevingswet, art. 10, lid b en lid c Wet veiligheidsregio's), dan wel omdat het bevoegd gezag de zaakbehandelende organisatie (bijvoorbeeld een omgevingsdienst of veiligheidsregio) heeft gemandateerd te adviseren over het onderwerp waarop de adviesaanvraag betrekking heeft. Indien de zaakbehandelende organisatie niet bevoegd of onvoldoende gemandateerd is, wordt status 3 pro forma doorlopen en bevat het adviesrapport deze constatering.</t>
  </si>
  <si>
    <t>2 - Registratie</t>
  </si>
  <si>
    <t>Zijn de gegevens compleet?</t>
  </si>
  <si>
    <t>Controleer of alle documenten en gegevens die binnen zijn gekomen ten behoeve van deze zaak, correct geregistreerd zijn in de zaak.</t>
  </si>
  <si>
    <t>3 - Behandelaar</t>
  </si>
  <si>
    <t>Is het behandelend team of medewerker bepaald?</t>
  </si>
  <si>
    <t>De behandelend medewerker of het behandelend organisatieonderdeel is bepaald en de zaak is volledig geregistreerd.</t>
  </si>
  <si>
    <t>1 - Adviezen gevraagd</t>
  </si>
  <si>
    <t>Zijn de voor de beoordeling relevante adviezen gevraagd?</t>
  </si>
  <si>
    <t>Voor het toetsen van de aanvraag aan regelgeving en het zorgvuldig afwegen van belangen, kunnen adviezen van specialisten op specifieke aspecten van de adviesaanvraag noodzakelijk zijn.</t>
  </si>
  <si>
    <t>2 - Adviezen ontvangen</t>
  </si>
  <si>
    <t>Zijn de aangevraagde adviezen ontvangen en verwerkt in het adviesrapport?</t>
  </si>
  <si>
    <t>Gecontroleerd wordt of de gevraagde specialistische adviezen zijn ontvangen. De adviezen zijn verwerkt in het concept van het adviesrapport.</t>
  </si>
  <si>
    <t>1 -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</si>
  <si>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</si>
  <si>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</si>
  <si>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2 - Leges</t>
  </si>
  <si>
    <t>Is de legesbeschikking opgesteld?</t>
  </si>
  <si>
    <t>Overheidsorganisaties kunnen voor 'verstrekte diensten' leges in rekening brengen (art. 104 Grondwet, art. 223 Provinciewet, art. 115 Waterschapswet, art. 229 Gemeentewet). De rijksoverheid bepaalt in wetgeving voor welke diensten, welke leges (tarieven) worden geheven, decentrale overheden doen dat in eigen verordeningen.
Op basis van deze regelgeving wordt bepaald of een legesbeschikking moet worden opgesteld en zo ja, welk legestarief in rekening moet worden gebracht voor de behandeling van de aanvraag.</t>
  </si>
  <si>
    <t>3 - Verslag</t>
  </si>
  <si>
    <t>Is het verslag en, indien van toepassing, de beoordeling cq. de adviesbrief verzonden?</t>
  </si>
  <si>
    <t>Omschrijving generiek</t>
  </si>
  <si>
    <t>Soort betrokkene</t>
  </si>
  <si>
    <t>Mag zetten Statustype</t>
  </si>
  <si>
    <t>Administratief medewerker</t>
  </si>
  <si>
    <t>Behandelaar</t>
  </si>
  <si>
    <t>1 - Zaak gestart
2 - Intake afgerond
4 - Zaak afgerond</t>
  </si>
  <si>
    <t>Adviesaanvrager</t>
  </si>
  <si>
    <t>Initiator</t>
  </si>
  <si>
    <t>Natuurlijk persoon, Niet-natuurlijk persoon, Vestiging</t>
  </si>
  <si>
    <t>Adviseur</t>
  </si>
  <si>
    <t>Beoordelaar</t>
  </si>
  <si>
    <t>3 - Inhoudelijk behandeld</t>
  </si>
  <si>
    <t>Zaakverantwoordelijke</t>
  </si>
  <si>
    <t>Beslisser</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</si>
  <si>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</si>
  <si>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</si>
  <si>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</si>
  <si>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</si>
  <si>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</si>
  <si>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</si>
  <si>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</si>
  <si>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</si>
  <si>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</si>
  <si>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</si>
  <si>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</si>
  <si>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</si>
  <si>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</si>
  <si>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</si>
  <si>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</si>
  <si>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</si>
  <si>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</si>
  <si>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</si>
  <si>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</si>
  <si>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</si>
  <si>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</si>
  <si>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</si>
  <si>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</si>
  <si>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</si>
  <si>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</si>
  <si>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</si>
  <si>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</si>
  <si>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</si>
  <si>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</si>
  <si>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</si>
  <si>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</si>
  <si>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</si>
  <si>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</si>
  <si>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</si>
  <si>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</si>
  <si>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</si>
  <si>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</si>
  <si>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</si>
  <si>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</si>
  <si>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</si>
  <si>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</si>
  <si>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</si>
  <si>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</si>
  <si>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</si>
  <si>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</si>
  <si>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</si>
  <si>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</si>
  <si>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</si>
  <si>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</si>
  <si>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</si>
  <si>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</si>
  <si>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</si>
  <si>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</si>
  <si>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</si>
  <si>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</si>
  <si>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</si>
  <si>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</si>
  <si>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</si>
  <si>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</si>
  <si>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</si>
  <si>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</si>
  <si>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</si>
  <si>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</si>
  <si>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</si>
  <si>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</si>
  <si>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</si>
  <si>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</si>
  <si>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</si>
  <si>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</si>
  <si>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</si>
  <si>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</si>
  <si>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</si>
  <si>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</si>
  <si>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</si>
  <si>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het advies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</si>
  <si>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</si>
  <si>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</si>
  <si>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</si>
  <si>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</si>
  <si>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</si>
  <si>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</si>
  <si>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</si>
  <si>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</si>
  <si>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</si>
  <si>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</si>
  <si>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</si>
  <si>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</si>
  <si>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</si>
  <si>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</si>
  <si>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</si>
  <si>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</si>
  <si>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</si>
  <si>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</si>
  <si>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</si>
  <si>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</si>
  <si>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</si>
  <si>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</si>
  <si>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</si>
  <si>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Datum overleg</t>
  </si>
  <si>
    <t>De datum waarop het (laatste) overleg waarop het advies betrekking heeft, heeft plaatsgevonden.</t>
  </si>
  <si>
    <t>Datum (jjjjmmdd)</t>
  </si>
  <si>
    <t>Projectnummer</t>
  </si>
  <si>
    <t>Uniek nummer van het project waarop de zaak betrekking heeft.</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</si>
  <si>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</si>
  <si>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Indicatie of het adviesonderwerp betrekking heeft op samenloop en zo ja, wie het bevoegd gezag is.</t>
  </si>
  <si>
    <t>Tekst</t>
  </si>
  <si>
    <t>Classificatie van de strekking van het gegeven advies.</t>
  </si>
  <si>
    <t>Volgnummer</t>
  </si>
  <si>
    <t>Richting</t>
  </si>
  <si>
    <t>Informatieobjecttype</t>
  </si>
  <si>
    <t>Inkomend</t>
  </si>
  <si>
    <t>Adviesaanvraag</t>
  </si>
  <si>
    <t>Uitgaand</t>
  </si>
  <si>
    <t>Ontvangstbevestiging</t>
  </si>
  <si>
    <t>Te beoordelen document(en)</t>
  </si>
  <si>
    <t>Verzoek om aanvullende informatie</t>
  </si>
  <si>
    <t>Aanvullende informatie</t>
  </si>
  <si>
    <t>Verslag overleg</t>
  </si>
  <si>
    <t>Intern</t>
  </si>
  <si>
    <t>Advies</t>
  </si>
  <si>
    <t>Adviesbrief</t>
  </si>
  <si>
    <t>Legesbeschikking</t>
  </si>
  <si>
    <t>Bericht ander bevoegd gezag</t>
  </si>
  <si>
    <t>Melding overgang bevoegdheid</t>
  </si>
  <si>
    <t>Brief buiten behandeling stellen</t>
  </si>
  <si>
    <t>Verzoek vooroverleg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</si>
  <si>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</si>
  <si>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</si>
  <si>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</si>
  <si>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</si>
  <si>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</si>
  <si>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</si>
  <si>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</si>
  <si>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</si>
  <si>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</si>
  <si>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</si>
  <si>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</si>
  <si>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</si>
  <si>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</si>
  <si>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</si>
  <si>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</si>
  <si>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</si>
  <si>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</si>
  <si>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</si>
  <si>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</si>
  <si>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</si>
  <si>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</si>
  <si>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</si>
  <si>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Buiten behandeling</t>
  </si>
  <si>
    <t>gem</t>
  </si>
  <si>
    <t>Niet verstrekt</t>
  </si>
  <si>
    <t>21.2</t>
  </si>
  <si>
    <t>Vernietigen</t>
  </si>
  <si>
    <t>Afgehandeld</t>
  </si>
  <si>
    <t>Het adviesverzoek is buiten behandeling gesteld.</t>
  </si>
  <si>
    <t>Afgebroken</t>
  </si>
  <si>
    <t>21.3</t>
  </si>
  <si>
    <t>Het adviesverzoek is afgebroken. Deze is foutief ingeboekt, overgedragen aan een ander gezag of door de indiener ingetrokken.</t>
  </si>
  <si>
    <t>-</t>
  </si>
  <si>
    <t>Er is geen advies verstrekt.</t>
  </si>
  <si>
    <t>Niet verstrekt - pop</t>
  </si>
  <si>
    <t>Principeverzoek</t>
  </si>
  <si>
    <t>21.1.3</t>
  </si>
  <si>
    <t>Een negatieve beoordeling bij een principeverzoek.</t>
  </si>
  <si>
    <t>Verstrekt</t>
  </si>
  <si>
    <t>21.1</t>
  </si>
  <si>
    <t>Er is een advies verstrekt.</t>
  </si>
  <si>
    <t>Verstrekt - vrovl</t>
  </si>
  <si>
    <t xml:space="preserve">Verstrekt </t>
  </si>
  <si>
    <t>Vooroverleg omgevingsvergunning</t>
  </si>
  <si>
    <t>21.1.2</t>
  </si>
  <si>
    <t>Een verstrekt advies n.a.v. een vooroverleg omgevingsvergunning.</t>
  </si>
  <si>
    <t xml:space="preserve">Buiten behandeling </t>
  </si>
  <si>
    <t>prov</t>
  </si>
  <si>
    <t>Adviseren aan derden, gevraagd en ongevraagd m.u.v. wettelijk voorgeschreven adviseringen.</t>
  </si>
  <si>
    <t xml:space="preserve">Niet verstrekt </t>
  </si>
  <si>
    <t>ws</t>
  </si>
  <si>
    <t>2.2.2</t>
  </si>
  <si>
    <t>Geen waterschapstaak</t>
  </si>
  <si>
    <t>0.0</t>
  </si>
  <si>
    <t>DEELZAAKTYPE</t>
  </si>
  <si>
    <t>GERELATEERD ZAAKTYPE</t>
  </si>
  <si>
    <t>AARD RELATIE</t>
  </si>
  <si>
    <t>2 - Advies verstrekken (informeel)</t>
  </si>
  <si>
    <t>Onderwerp</t>
  </si>
  <si>
    <t>De zaak van het zaaktype 'Advies verstrekken (informeel)' waarin een eerdere adviesbehandeling heeft plaatsgevonden.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</si>
</sst>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
      <strike/>
      <sz val="10"/>
      <name val="Arial"/>
      <family val="2"/>
    </font>
    <font>
      <sz val="10"/>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3">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6" fillId="0" borderId="0" xfId="0" applyFont="1" applyAlignment="1">
      <alignment vertical="top" wrapText="1"/>
    </xf>
    <xf numFmtId="0" fontId="15" fillId="0" borderId="0" xfId="0" applyFont="1" applyAlignment="1">
      <alignmen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14" fontId="18" fillId="0" borderId="0" xfId="0" applyNumberFormat="1" applyFont="1" applyAlignment="1">
      <alignment horizontal="left" vertical="top" wrapText="1"/>
    </xf>
    <xf numFmtId="0" fontId="18" fillId="0" borderId="0" xfId="0" applyFont="1" applyAlignment="1">
      <alignment vertical="top" wrapText="1"/>
    </xf>
    <xf numFmtId="0" fontId="19" fillId="0" borderId="0" xfId="0" applyFont="1" applyAlignment="1">
      <alignment vertical="top"/>
    </xf>
    <xf numFmtId="0" fontId="19" fillId="0" borderId="0" xfId="0" applyFont="1" applyAlignment="1">
      <alignment vertical="top" wrapText="1"/>
    </xf>
    <xf numFmtId="0" fontId="18" fillId="0" borderId="0" xfId="0" applyFont="1" applyAlignment="1">
      <alignment wrapText="1"/>
    </xf>
    <xf numFmtId="0" fontId="18" fillId="0" borderId="0" xfId="0" applyFont="1" applyAlignment="1">
      <alignment horizontal="left" vertical="top"/>
    </xf>
    <xf numFmtId="0" fontId="18" fillId="0" borderId="0" xfId="0" quotePrefix="1" applyFont="1" applyAlignment="1">
      <alignment horizontal="left" vertical="top"/>
    </xf>
    <xf numFmtId="14" fontId="18" fillId="0" borderId="0" xfId="0" applyNumberFormat="1" applyFont="1" applyAlignment="1">
      <alignment horizontal="left" vertical="top"/>
    </xf>
    <xf numFmtId="0" fontId="21" fillId="0" borderId="0" xfId="0" applyFont="1" applyAlignment="1">
      <alignment horizontal="left" vertical="top" wrapText="1"/>
    </xf>
    <xf numFmtId="0" fontId="15" fillId="0" borderId="0" xfId="0" applyFont="1"/>
    <xf numFmtId="0" fontId="16" fillId="0" borderId="0" xfId="0" applyFont="1" applyAlignment="1">
      <alignment vertical="top"/>
    </xf>
    <xf numFmtId="0" fontId="16" fillId="0" borderId="0" xfId="0" applyFont="1" applyAlignment="1">
      <alignment horizontal="left" vertical="top"/>
    </xf>
    <xf numFmtId="0" fontId="19" fillId="0" borderId="0" xfId="0" quotePrefix="1" applyFont="1" applyAlignment="1">
      <alignment horizontal="left" vertical="top"/>
    </xf>
    <xf numFmtId="0" fontId="19" fillId="0" borderId="0" xfId="0" applyFont="1" applyAlignment="1">
      <alignment horizontal="left" vertical="top"/>
    </xf>
    <xf numFmtId="0" fontId="18" fillId="0" borderId="0" xfId="0" applyFont="1" applyAlignment="1">
      <alignment vertical="top"/>
    </xf>
    <xf numFmtId="0" fontId="19" fillId="0" borderId="2" xfId="0" applyFont="1" applyBorder="1" applyAlignment="1">
      <alignment vertical="top"/>
    </xf>
    <xf numFmtId="0" fontId="18" fillId="0" borderId="2" xfId="0" applyFont="1" applyBorder="1" applyAlignment="1">
      <alignment vertical="top" wrapText="1"/>
    </xf>
    <xf numFmtId="0" fontId="15" fillId="0" borderId="0" xfId="0" applyFont="1" applyAlignment="1">
      <alignment vertical="top"/>
    </xf>
    <xf numFmtId="0" fontId="18" fillId="0" borderId="0" xfId="0" applyFont="1"/>
    <xf numFmtId="0" fontId="16" fillId="0" borderId="0" xfId="0" applyFont="1"/>
    <xf numFmtId="0" fontId="15" fillId="0" borderId="0" xfId="0" applyFont="1" applyAlignment="1">
      <alignment wrapText="1"/>
    </xf>
    <xf numFmtId="0" fontId="19" fillId="0" borderId="0" xfId="0" applyFont="1"/>
    <xf numFmtId="14" fontId="21" fillId="0" borderId="0" xfId="0" applyNumberFormat="1" applyFont="1" applyAlignment="1">
      <alignment horizontal="left" vertical="top"/>
    </xf>
    <xf numFmtId="0" fontId="16" fillId="0" borderId="0" xfId="0" applyFont="1" applyAlignment="1">
      <alignment horizontal="left" vertical="top"/>
    </xf>
    <xf numFmtId="0" fontId="19" fillId="0" borderId="0" xfId="0" applyFont="1" applyAlignment="1">
      <alignment horizontal="left" vertical="top"/>
    </xf>
    <xf numFmtId="0" fontId="19" fillId="0" borderId="0" xfId="0" applyFont="1" applyFill="1" applyAlignment="1">
      <alignment horizontal="left" vertical="top"/>
    </xf>
    <xf numFmtId="0" fontId="19" fillId="0" borderId="0" xfId="0" applyFont="1" applyFill="1" applyAlignment="1">
      <alignment vertical="top"/>
    </xf>
    <xf numFmtId="0" fontId="19" fillId="0" borderId="0" xfId="0" applyFont="1" applyFill="1" applyAlignment="1">
      <alignment horizontal="left" vertical="top" wrapText="1"/>
    </xf>
    <xf numFmtId="0" fontId="19" fillId="0" borderId="0" xfId="0" applyFont="1" applyFill="1" applyAlignment="1">
      <alignment vertical="top" wrapText="1"/>
    </xf>
    <xf numFmtId="0" fontId="18" fillId="0" borderId="0" xfId="0" applyFont="1" applyFill="1" applyAlignment="1">
      <alignment horizontal="left" vertical="top" wrapText="1"/>
    </xf>
    <xf numFmtId="0" fontId="18" fillId="0" borderId="0" xfId="0" applyFont="1" applyFill="1" applyAlignment="1">
      <alignment vertical="top" wrapText="1"/>
    </xf>
    <xf numFmtId="0" fontId="20" fillId="0" borderId="0" xfId="0" applyFont="1" applyFill="1" applyAlignment="1">
      <alignment horizontal="left" vertical="top" wrapText="1"/>
    </xf>
    <xf numFmtId="0" fontId="18" fillId="0" borderId="0" xfId="0" quotePrefix="1" applyFont="1" applyFill="1" applyAlignment="1">
      <alignment vertical="top" wrapText="1"/>
    </xf>
    <xf numFmtId="0" fontId="20" fillId="0" borderId="0" xfId="0" applyFont="1" applyFill="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ySplit="1" topLeftCell="A2" activePane="bottomLeft" state="frozen"/>
      <selection activeCell="D5" sqref="D5"/>
      <selection pane="bottomLeft" activeCell="A2" sqref="A2"/>
    </sheetView>
  </sheetViews>
  <sheetFormatPr defaultColWidth="8.625" defaultRowHeight="12.75" x14ac:dyDescent="0.2"/>
  <cols>
    <col min="1" max="1" width="49.375" style="22" customWidth="1"/>
    <col min="2" max="2" width="82.5" style="14" customWidth="1"/>
    <col min="3" max="1024" width="69.125" style="14" customWidth="1"/>
    <col min="1025" max="16384" width="8.625" style="27"/>
  </cols>
  <sheetData>
    <row r="1" spans="1:2" x14ac:dyDescent="0.2">
      <c r="A1" s="20" t="s">
        <v>0</v>
      </c>
      <c r="B1" s="22" t="s">
        <v>1</v>
      </c>
    </row>
    <row r="2" spans="1:2" x14ac:dyDescent="0.2">
      <c r="A2" s="6" t="s">
        <v>2</v>
      </c>
      <c r="B2" s="6">
        <v>2</v>
      </c>
    </row>
    <row r="3" spans="1:2" x14ac:dyDescent="0.2">
      <c r="A3" s="6" t="s">
        <v>3</v>
      </c>
      <c r="B3" s="6" t="s">
        <v>4</v>
      </c>
    </row>
    <row r="4" spans="1:2" x14ac:dyDescent="0.2">
      <c r="A4" s="6" t="s">
        <v>5</v>
      </c>
      <c r="B4" s="5" t="s">
        <v>6</v>
      </c>
    </row>
    <row r="5" spans="1:2" ht="76.5" x14ac:dyDescent="0.2">
      <c r="A5" s="6" t="s">
        <v>7</v>
      </c>
      <c r="B5" s="17" t="s">
        <v>8</v>
      </c>
    </row>
    <row r="6" spans="1:2" ht="38.25" x14ac:dyDescent="0.2">
      <c r="A6" s="6" t="s">
        <v>9</v>
      </c>
      <c r="B6" s="5" t="s">
        <v>10</v>
      </c>
    </row>
    <row r="7" spans="1:2" ht="160.35" customHeight="1" x14ac:dyDescent="0.2">
      <c r="A7" s="6" t="s">
        <v>11</v>
      </c>
      <c r="B7" s="17" t="s">
        <v>12</v>
      </c>
    </row>
    <row r="8" spans="1:2" x14ac:dyDescent="0.2">
      <c r="A8" s="6" t="s">
        <v>13</v>
      </c>
      <c r="B8" s="5" t="s">
        <v>14</v>
      </c>
    </row>
    <row r="9" spans="1:2" x14ac:dyDescent="0.2">
      <c r="A9" s="6" t="s">
        <v>15</v>
      </c>
      <c r="B9" s="5" t="s">
        <v>16</v>
      </c>
    </row>
    <row r="10" spans="1:2" x14ac:dyDescent="0.2">
      <c r="A10" s="6" t="s">
        <v>17</v>
      </c>
      <c r="B10" s="5" t="s">
        <v>18</v>
      </c>
    </row>
    <row r="11" spans="1:2" x14ac:dyDescent="0.2">
      <c r="A11" s="6" t="s">
        <v>19</v>
      </c>
      <c r="B11" s="5" t="s">
        <v>20</v>
      </c>
    </row>
    <row r="12" spans="1:2" x14ac:dyDescent="0.2">
      <c r="A12" s="6" t="s">
        <v>21</v>
      </c>
    </row>
    <row r="13" spans="1:2" x14ac:dyDescent="0.2">
      <c r="A13" s="7" t="s">
        <v>22</v>
      </c>
    </row>
    <row r="14" spans="1:2" x14ac:dyDescent="0.2">
      <c r="A14" s="7" t="s">
        <v>23</v>
      </c>
      <c r="B14" s="15"/>
    </row>
    <row r="15" spans="1:2" x14ac:dyDescent="0.2">
      <c r="A15" s="6" t="s">
        <v>24</v>
      </c>
      <c r="B15" s="5">
        <v>21</v>
      </c>
    </row>
    <row r="16" spans="1:2" x14ac:dyDescent="0.2">
      <c r="A16" s="7" t="s">
        <v>22</v>
      </c>
      <c r="B16" s="14" t="s">
        <v>25</v>
      </c>
    </row>
    <row r="17" spans="1:2" x14ac:dyDescent="0.2">
      <c r="A17" s="7" t="s">
        <v>23</v>
      </c>
      <c r="B17" s="15">
        <v>3</v>
      </c>
    </row>
    <row r="18" spans="1:2" x14ac:dyDescent="0.2">
      <c r="A18" s="6" t="s">
        <v>26</v>
      </c>
      <c r="B18" s="5" t="s">
        <v>27</v>
      </c>
    </row>
    <row r="19" spans="1:2" x14ac:dyDescent="0.2">
      <c r="A19" s="6" t="s">
        <v>28</v>
      </c>
      <c r="B19" s="5" t="s">
        <v>29</v>
      </c>
    </row>
    <row r="20" spans="1:2" x14ac:dyDescent="0.2">
      <c r="A20" s="6" t="s">
        <v>30</v>
      </c>
    </row>
    <row r="21" spans="1:2" x14ac:dyDescent="0.2">
      <c r="A21" s="6" t="s">
        <v>31</v>
      </c>
      <c r="B21" s="5" t="s">
        <v>32</v>
      </c>
    </row>
    <row r="22" spans="1:2" x14ac:dyDescent="0.2">
      <c r="A22" s="6" t="s">
        <v>33</v>
      </c>
      <c r="B22" s="5" t="s">
        <v>34</v>
      </c>
    </row>
    <row r="23" spans="1:2" x14ac:dyDescent="0.2">
      <c r="A23" s="6" t="s">
        <v>35</v>
      </c>
    </row>
    <row r="24" spans="1:2" x14ac:dyDescent="0.2">
      <c r="A24" s="6" t="s">
        <v>36</v>
      </c>
      <c r="B24" s="5" t="s">
        <v>27</v>
      </c>
    </row>
    <row r="25" spans="1:2" x14ac:dyDescent="0.2">
      <c r="A25" s="6" t="s">
        <v>37</v>
      </c>
    </row>
    <row r="26" spans="1:2" x14ac:dyDescent="0.2">
      <c r="A26" s="6" t="s">
        <v>38</v>
      </c>
    </row>
    <row r="27" spans="1:2" x14ac:dyDescent="0.2">
      <c r="A27" s="21" t="s">
        <v>39</v>
      </c>
      <c r="B27" s="17" t="s">
        <v>40</v>
      </c>
    </row>
    <row r="28" spans="1:2" x14ac:dyDescent="0.2">
      <c r="A28" s="21" t="s">
        <v>41</v>
      </c>
      <c r="B28" s="5"/>
    </row>
    <row r="29" spans="1:2" x14ac:dyDescent="0.2">
      <c r="A29" s="21" t="s">
        <v>42</v>
      </c>
      <c r="B29" s="5"/>
    </row>
    <row r="30" spans="1:2" x14ac:dyDescent="0.2">
      <c r="A30" s="8" t="s">
        <v>39</v>
      </c>
    </row>
    <row r="31" spans="1:2" x14ac:dyDescent="0.2">
      <c r="A31" s="8" t="s">
        <v>41</v>
      </c>
    </row>
    <row r="32" spans="1:2" x14ac:dyDescent="0.2">
      <c r="A32" s="5" t="s">
        <v>43</v>
      </c>
    </row>
    <row r="33" spans="1:2" x14ac:dyDescent="0.2">
      <c r="A33" s="5" t="s">
        <v>44</v>
      </c>
    </row>
    <row r="34" spans="1:2" x14ac:dyDescent="0.2">
      <c r="A34" s="7" t="s">
        <v>45</v>
      </c>
    </row>
    <row r="35" spans="1:2" x14ac:dyDescent="0.2">
      <c r="A35" s="8" t="s">
        <v>46</v>
      </c>
    </row>
    <row r="36" spans="1:2" x14ac:dyDescent="0.2">
      <c r="A36" s="7" t="s">
        <v>47</v>
      </c>
    </row>
    <row r="37" spans="1:2" x14ac:dyDescent="0.2">
      <c r="A37" s="5" t="s">
        <v>48</v>
      </c>
    </row>
    <row r="38" spans="1:2" x14ac:dyDescent="0.2">
      <c r="A38" s="7" t="s">
        <v>39</v>
      </c>
    </row>
    <row r="39" spans="1:2" x14ac:dyDescent="0.2">
      <c r="A39" s="7" t="s">
        <v>49</v>
      </c>
    </row>
    <row r="40" spans="1:2" x14ac:dyDescent="0.2">
      <c r="A40" s="7" t="s">
        <v>50</v>
      </c>
    </row>
    <row r="41" spans="1:2" x14ac:dyDescent="0.2">
      <c r="A41" s="7" t="s">
        <v>51</v>
      </c>
    </row>
    <row r="42" spans="1:2" x14ac:dyDescent="0.2">
      <c r="A42" s="6" t="s">
        <v>52</v>
      </c>
      <c r="B42" s="31">
        <v>45849</v>
      </c>
    </row>
    <row r="43" spans="1:2" x14ac:dyDescent="0.2">
      <c r="A43" s="6" t="s">
        <v>53</v>
      </c>
      <c r="B43" s="16">
        <v>43800</v>
      </c>
    </row>
    <row r="44" spans="1:2" x14ac:dyDescent="0.2">
      <c r="A44" s="6" t="s">
        <v>54</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6"/>
  <sheetViews>
    <sheetView workbookViewId="0">
      <pane xSplit="2" ySplit="2" topLeftCell="C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7" style="5" customWidth="1"/>
    <col min="2" max="2" width="21.875" style="5" customWidth="1"/>
    <col min="3" max="4" width="12.5" style="5" customWidth="1"/>
    <col min="5" max="6" width="15.125" style="5" customWidth="1"/>
    <col min="7" max="7" width="87.125" style="5" customWidth="1"/>
    <col min="8" max="8" width="38.625" style="5" customWidth="1"/>
    <col min="9" max="9" width="37.375" style="5" customWidth="1"/>
    <col min="10" max="10" width="36.5" style="5" customWidth="1"/>
    <col min="11" max="11" width="10.625" style="5" customWidth="1"/>
    <col min="12" max="1026" width="87.125" style="5" customWidth="1"/>
    <col min="1027" max="16384" width="8.625" style="13"/>
  </cols>
  <sheetData>
    <row r="1" spans="1:1026" s="30" customFormat="1" x14ac:dyDescent="0.2">
      <c r="A1" s="20" t="str">
        <f>CONCATENATE("Statustypen bij zaaktype ",Zaaktype!B2,": ",Zaaktype!B3)</f>
        <v>Statustypen bij zaaktype 2: Advies verstrekken (informeel)</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c r="AMK1" s="22"/>
      <c r="AML1" s="22"/>
    </row>
    <row r="2" spans="1:1026" ht="38.25" x14ac:dyDescent="0.2">
      <c r="A2" s="6" t="s">
        <v>55</v>
      </c>
      <c r="B2" s="6" t="s">
        <v>56</v>
      </c>
      <c r="C2" s="6" t="s">
        <v>57</v>
      </c>
      <c r="D2" s="6" t="s">
        <v>58</v>
      </c>
      <c r="E2" s="6" t="s">
        <v>59</v>
      </c>
      <c r="F2" s="6" t="s">
        <v>60</v>
      </c>
      <c r="G2" s="6" t="s">
        <v>61</v>
      </c>
      <c r="H2" s="6" t="s">
        <v>62</v>
      </c>
      <c r="I2" s="6" t="s">
        <v>63</v>
      </c>
      <c r="J2" s="6" t="s">
        <v>64</v>
      </c>
      <c r="K2" s="6" t="s">
        <v>65</v>
      </c>
    </row>
    <row r="3" spans="1:1026" ht="25.5" x14ac:dyDescent="0.2">
      <c r="A3" s="10" t="s">
        <v>66</v>
      </c>
      <c r="B3" s="5" t="s">
        <v>67</v>
      </c>
      <c r="C3" s="5">
        <v>0</v>
      </c>
      <c r="D3" s="5" t="s">
        <v>68</v>
      </c>
      <c r="E3" s="5" t="s">
        <v>27</v>
      </c>
      <c r="G3" s="5" t="s">
        <v>69</v>
      </c>
      <c r="K3" s="9">
        <v>43800</v>
      </c>
    </row>
    <row r="4" spans="1:1026" ht="76.5" x14ac:dyDescent="0.2">
      <c r="A4" s="10" t="s">
        <v>70</v>
      </c>
      <c r="B4" s="5" t="s">
        <v>71</v>
      </c>
      <c r="C4" s="5">
        <v>2</v>
      </c>
      <c r="D4" s="5" t="s">
        <v>68</v>
      </c>
      <c r="E4" s="5" t="s">
        <v>27</v>
      </c>
      <c r="G4" s="5" t="s">
        <v>72</v>
      </c>
      <c r="H4" s="5" t="s">
        <v>73</v>
      </c>
      <c r="K4" s="9">
        <v>43800</v>
      </c>
    </row>
    <row r="5" spans="1:1026" ht="51" x14ac:dyDescent="0.2">
      <c r="A5" s="10" t="s">
        <v>74</v>
      </c>
      <c r="B5" s="5" t="s">
        <v>75</v>
      </c>
      <c r="C5" s="5">
        <v>53</v>
      </c>
      <c r="D5" s="5" t="s">
        <v>68</v>
      </c>
      <c r="E5" s="5" t="s">
        <v>27</v>
      </c>
      <c r="G5" s="5" t="s">
        <v>76</v>
      </c>
      <c r="J5" s="5" t="s">
        <v>77</v>
      </c>
      <c r="K5" s="9">
        <v>43800</v>
      </c>
    </row>
    <row r="6" spans="1:1026" ht="38.25" x14ac:dyDescent="0.2">
      <c r="A6" s="10" t="s">
        <v>78</v>
      </c>
      <c r="B6" s="5" t="s">
        <v>79</v>
      </c>
      <c r="C6" s="5">
        <v>1</v>
      </c>
      <c r="D6" s="5" t="s">
        <v>68</v>
      </c>
      <c r="E6" s="5" t="s">
        <v>27</v>
      </c>
      <c r="G6" s="5" t="s">
        <v>80</v>
      </c>
      <c r="J6" s="5" t="s">
        <v>81</v>
      </c>
      <c r="K6" s="9">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D24E-ADF4-4A9A-BB4F-AA0335C21C2E}">
  <dimension ref="A1:F12"/>
  <sheetViews>
    <sheetView workbookViewId="0">
      <pane xSplit="3" ySplit="2" topLeftCell="D3" activePane="bottomRight" state="frozen"/>
      <selection pane="topRight" activeCell="A7" sqref="A7"/>
      <selection pane="bottomLeft" activeCell="A7" sqref="A7"/>
      <selection pane="bottomRight" activeCell="B3" sqref="B3"/>
    </sheetView>
  </sheetViews>
  <sheetFormatPr defaultColWidth="8.625" defaultRowHeight="12.75" x14ac:dyDescent="0.2"/>
  <cols>
    <col min="1" max="1" width="4.125" style="10" customWidth="1"/>
    <col min="2" max="2" width="15.625" style="10" customWidth="1"/>
    <col min="3" max="3" width="23.125" style="10" customWidth="1"/>
    <col min="4" max="4" width="44" style="10" customWidth="1"/>
    <col min="5" max="5" width="8.625" style="10"/>
    <col min="6" max="6" width="61.5" style="10" customWidth="1"/>
    <col min="7" max="16384" width="8.625" style="10"/>
  </cols>
  <sheetData>
    <row r="1" spans="1:6" s="23" customFormat="1" ht="15.6" customHeight="1" x14ac:dyDescent="0.2">
      <c r="A1" s="32" t="str">
        <f>CONCATENATE("Checklistst bij zaaktype ",Zaaktype!B2,": ",Zaaktype!B3)</f>
        <v>Checklistst bij zaaktype 2: Advies verstrekken (informeel)</v>
      </c>
      <c r="B1" s="33"/>
      <c r="C1" s="33"/>
      <c r="D1" s="33"/>
    </row>
    <row r="2" spans="1:6" s="23" customFormat="1" x14ac:dyDescent="0.2">
      <c r="A2" s="24" t="s">
        <v>82</v>
      </c>
      <c r="B2" s="24"/>
      <c r="C2" s="24" t="s">
        <v>83</v>
      </c>
      <c r="D2" s="24" t="s">
        <v>84</v>
      </c>
      <c r="E2" s="24" t="s">
        <v>85</v>
      </c>
      <c r="F2" s="24" t="s">
        <v>61</v>
      </c>
    </row>
    <row r="3" spans="1:6" ht="63.75" x14ac:dyDescent="0.2">
      <c r="A3" s="12" t="s">
        <v>66</v>
      </c>
      <c r="B3" s="12" t="s">
        <v>67</v>
      </c>
      <c r="C3" s="10" t="s">
        <v>86</v>
      </c>
      <c r="D3" s="10" t="s">
        <v>87</v>
      </c>
      <c r="E3" s="10" t="s">
        <v>27</v>
      </c>
      <c r="F3" s="10" t="s">
        <v>88</v>
      </c>
    </row>
    <row r="4" spans="1:6" ht="25.5" x14ac:dyDescent="0.2">
      <c r="A4" s="25" t="s">
        <v>66</v>
      </c>
      <c r="B4" s="25" t="s">
        <v>67</v>
      </c>
      <c r="C4" s="25" t="s">
        <v>89</v>
      </c>
      <c r="D4" s="25" t="s">
        <v>90</v>
      </c>
      <c r="E4" s="25" t="s">
        <v>27</v>
      </c>
      <c r="F4" s="25" t="s">
        <v>91</v>
      </c>
    </row>
    <row r="5" spans="1:6" ht="127.5" x14ac:dyDescent="0.2">
      <c r="A5" s="12" t="s">
        <v>70</v>
      </c>
      <c r="B5" s="12" t="s">
        <v>71</v>
      </c>
      <c r="C5" s="10" t="s">
        <v>92</v>
      </c>
      <c r="D5" s="10" t="s">
        <v>93</v>
      </c>
      <c r="E5" s="10" t="s">
        <v>27</v>
      </c>
      <c r="F5" s="10" t="s">
        <v>94</v>
      </c>
    </row>
    <row r="6" spans="1:6" ht="25.5" x14ac:dyDescent="0.2">
      <c r="A6" s="10" t="s">
        <v>70</v>
      </c>
      <c r="B6" s="10" t="s">
        <v>71</v>
      </c>
      <c r="C6" s="10" t="s">
        <v>95</v>
      </c>
      <c r="D6" s="10" t="s">
        <v>96</v>
      </c>
      <c r="E6" s="10" t="s">
        <v>29</v>
      </c>
      <c r="F6" s="10" t="s">
        <v>97</v>
      </c>
    </row>
    <row r="7" spans="1:6" ht="25.5" x14ac:dyDescent="0.2">
      <c r="A7" s="25" t="s">
        <v>70</v>
      </c>
      <c r="B7" s="25" t="s">
        <v>71</v>
      </c>
      <c r="C7" s="25" t="s">
        <v>98</v>
      </c>
      <c r="D7" s="25" t="s">
        <v>99</v>
      </c>
      <c r="E7" s="25" t="s">
        <v>29</v>
      </c>
      <c r="F7" s="25" t="s">
        <v>100</v>
      </c>
    </row>
    <row r="8" spans="1:6" ht="38.25" x14ac:dyDescent="0.2">
      <c r="A8" s="12" t="s">
        <v>74</v>
      </c>
      <c r="B8" s="12" t="s">
        <v>75</v>
      </c>
      <c r="C8" s="10" t="s">
        <v>101</v>
      </c>
      <c r="D8" s="10" t="s">
        <v>102</v>
      </c>
      <c r="E8" s="10" t="s">
        <v>27</v>
      </c>
      <c r="F8" s="10" t="s">
        <v>103</v>
      </c>
    </row>
    <row r="9" spans="1:6" ht="25.5" x14ac:dyDescent="0.2">
      <c r="A9" s="25" t="s">
        <v>74</v>
      </c>
      <c r="B9" s="25" t="s">
        <v>75</v>
      </c>
      <c r="C9" s="25" t="s">
        <v>104</v>
      </c>
      <c r="D9" s="25" t="s">
        <v>105</v>
      </c>
      <c r="E9" s="25" t="s">
        <v>27</v>
      </c>
      <c r="F9" s="25" t="s">
        <v>106</v>
      </c>
    </row>
    <row r="10" spans="1:6" ht="63.75" x14ac:dyDescent="0.2">
      <c r="A10" s="12">
        <v>4</v>
      </c>
      <c r="B10" s="12" t="s">
        <v>79</v>
      </c>
      <c r="C10" s="10" t="s">
        <v>107</v>
      </c>
      <c r="D10" s="10" t="s">
        <v>108</v>
      </c>
      <c r="E10" s="10" t="s">
        <v>29</v>
      </c>
      <c r="F10" s="5" t="s">
        <v>109</v>
      </c>
    </row>
    <row r="11" spans="1:6" ht="114.75" x14ac:dyDescent="0.2">
      <c r="A11" s="10" t="s">
        <v>78</v>
      </c>
      <c r="B11" s="10" t="s">
        <v>79</v>
      </c>
      <c r="C11" s="10" t="s">
        <v>110</v>
      </c>
      <c r="D11" s="10" t="s">
        <v>111</v>
      </c>
      <c r="E11" s="10" t="s">
        <v>29</v>
      </c>
      <c r="F11" s="10" t="s">
        <v>112</v>
      </c>
    </row>
    <row r="12" spans="1:6" ht="25.5" x14ac:dyDescent="0.2">
      <c r="A12" s="25" t="s">
        <v>78</v>
      </c>
      <c r="B12" s="25" t="s">
        <v>79</v>
      </c>
      <c r="C12" s="25" t="s">
        <v>113</v>
      </c>
      <c r="D12" s="25" t="s">
        <v>114</v>
      </c>
      <c r="E12" s="25" t="s">
        <v>29</v>
      </c>
      <c r="F12" s="25"/>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7"/>
  <sheetViews>
    <sheetView workbookViewId="0">
      <pane xSplit="1" ySplit="2" topLeftCell="B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31.875" style="5" customWidth="1"/>
    <col min="2" max="2" width="20.5" style="5" customWidth="1"/>
    <col min="3" max="3" width="43.125" style="5" customWidth="1"/>
    <col min="4" max="4" width="31.875" style="5" customWidth="1"/>
    <col min="5" max="5" width="11.625" style="5" customWidth="1"/>
    <col min="6" max="1024" width="31.875" style="5" customWidth="1"/>
    <col min="1025" max="16384" width="8.625" style="13"/>
  </cols>
  <sheetData>
    <row r="1" spans="1:1024" s="30" customFormat="1" ht="14.1" customHeight="1" x14ac:dyDescent="0.2">
      <c r="A1" s="32" t="str">
        <f>CONCATENATE("Roltypen bij zaaktype ",Zaaktype!B2,": ",Zaaktype!B3)</f>
        <v>Roltypen bij zaaktype 2: Advies verstrekken (informeel)</v>
      </c>
      <c r="B1" s="33"/>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row>
    <row r="2" spans="1:1024" ht="25.5" x14ac:dyDescent="0.2">
      <c r="A2" s="6" t="s">
        <v>56</v>
      </c>
      <c r="B2" s="6" t="s">
        <v>115</v>
      </c>
      <c r="C2" s="6" t="s">
        <v>116</v>
      </c>
      <c r="D2" s="6" t="s">
        <v>117</v>
      </c>
      <c r="E2" s="6" t="s">
        <v>65</v>
      </c>
    </row>
    <row r="3" spans="1:1024" ht="38.25" x14ac:dyDescent="0.2">
      <c r="A3" s="5" t="s">
        <v>118</v>
      </c>
      <c r="B3" s="5" t="s">
        <v>119</v>
      </c>
      <c r="D3" s="5" t="s">
        <v>120</v>
      </c>
      <c r="E3" s="9">
        <v>43800</v>
      </c>
    </row>
    <row r="4" spans="1:1024" x14ac:dyDescent="0.2">
      <c r="A4" s="5" t="s">
        <v>121</v>
      </c>
      <c r="B4" s="5" t="s">
        <v>122</v>
      </c>
      <c r="C4" s="5" t="s">
        <v>123</v>
      </c>
      <c r="E4" s="9">
        <v>43800</v>
      </c>
    </row>
    <row r="5" spans="1:1024" x14ac:dyDescent="0.2">
      <c r="A5" s="5" t="s">
        <v>124</v>
      </c>
      <c r="B5" s="5" t="s">
        <v>124</v>
      </c>
      <c r="D5" s="13"/>
      <c r="E5" s="9">
        <v>43800</v>
      </c>
    </row>
    <row r="6" spans="1:1024" x14ac:dyDescent="0.2">
      <c r="A6" s="5" t="s">
        <v>125</v>
      </c>
      <c r="B6" s="5" t="s">
        <v>119</v>
      </c>
      <c r="D6" s="5" t="s">
        <v>126</v>
      </c>
      <c r="E6" s="9">
        <v>43800</v>
      </c>
    </row>
    <row r="7" spans="1:1024" x14ac:dyDescent="0.2">
      <c r="A7" s="5" t="s">
        <v>127</v>
      </c>
      <c r="B7" s="5" t="s">
        <v>128</v>
      </c>
      <c r="D7" s="5" t="s">
        <v>126</v>
      </c>
      <c r="E7" s="9">
        <v>43800</v>
      </c>
    </row>
  </sheetData>
  <mergeCells count="1">
    <mergeCell ref="A1:B1"/>
  </mergeCells>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55.125" style="5" customWidth="1"/>
    <col min="2" max="2" width="16.625" style="5" customWidth="1"/>
    <col min="3" max="3" width="62.875" style="5" customWidth="1"/>
    <col min="4" max="4" width="11.625" style="5" customWidth="1"/>
    <col min="5" max="1024" width="55.125" style="5" customWidth="1"/>
    <col min="1025" max="16384" width="8.625" style="10"/>
  </cols>
  <sheetData>
    <row r="1" spans="1:1024" s="23" customFormat="1" x14ac:dyDescent="0.2">
      <c r="A1" s="20" t="str">
        <f>CONCATENATE("Zaakobjecttypen bij zaaktype ",Zaaktype!B2,": ",Zaaktype!B3)</f>
        <v>Zaakobjecttypen bij zaaktype 2: Advies verstrekken (informeel)</v>
      </c>
      <c r="B1" s="22"/>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4"/>
      <c r="AHZ1" s="14"/>
      <c r="AIA1" s="14"/>
      <c r="AIB1" s="14"/>
      <c r="AIC1" s="14"/>
      <c r="AID1" s="14"/>
      <c r="AIE1" s="14"/>
      <c r="AIF1" s="14"/>
      <c r="AIG1" s="14"/>
      <c r="AIH1" s="14"/>
      <c r="AII1" s="14"/>
      <c r="AIJ1" s="14"/>
      <c r="AIK1" s="14"/>
      <c r="AIL1" s="14"/>
      <c r="AIM1" s="14"/>
      <c r="AIN1" s="14"/>
      <c r="AIO1" s="14"/>
      <c r="AIP1" s="14"/>
      <c r="AIQ1" s="14"/>
      <c r="AIR1" s="14"/>
      <c r="AIS1" s="14"/>
      <c r="AIT1" s="14"/>
      <c r="AIU1" s="14"/>
      <c r="AIV1" s="14"/>
      <c r="AIW1" s="14"/>
      <c r="AIX1" s="14"/>
      <c r="AIY1" s="14"/>
      <c r="AIZ1" s="14"/>
      <c r="AJA1" s="14"/>
      <c r="AJB1" s="14"/>
      <c r="AJC1" s="14"/>
      <c r="AJD1" s="14"/>
      <c r="AJE1" s="14"/>
      <c r="AJF1" s="14"/>
      <c r="AJG1" s="14"/>
      <c r="AJH1" s="14"/>
      <c r="AJI1" s="14"/>
      <c r="AJJ1" s="14"/>
      <c r="AJK1" s="14"/>
      <c r="AJL1" s="14"/>
      <c r="AJM1" s="14"/>
      <c r="AJN1" s="14"/>
      <c r="AJO1" s="14"/>
      <c r="AJP1" s="14"/>
      <c r="AJQ1" s="14"/>
      <c r="AJR1" s="14"/>
      <c r="AJS1" s="14"/>
      <c r="AJT1" s="14"/>
      <c r="AJU1" s="14"/>
      <c r="AJV1" s="14"/>
      <c r="AJW1" s="14"/>
      <c r="AJX1" s="14"/>
      <c r="AJY1" s="14"/>
      <c r="AJZ1" s="14"/>
      <c r="AKA1" s="14"/>
      <c r="AKB1" s="14"/>
      <c r="AKC1" s="14"/>
      <c r="AKD1" s="14"/>
      <c r="AKE1" s="14"/>
      <c r="AKF1" s="14"/>
      <c r="AKG1" s="14"/>
      <c r="AKH1" s="14"/>
      <c r="AKI1" s="14"/>
      <c r="AKJ1" s="14"/>
      <c r="AKK1" s="14"/>
      <c r="AKL1" s="14"/>
      <c r="AKM1" s="14"/>
      <c r="AKN1" s="14"/>
      <c r="AKO1" s="14"/>
      <c r="AKP1" s="14"/>
      <c r="AKQ1" s="14"/>
      <c r="AKR1" s="14"/>
      <c r="AKS1" s="14"/>
      <c r="AKT1" s="14"/>
      <c r="AKU1" s="14"/>
      <c r="AKV1" s="14"/>
      <c r="AKW1" s="14"/>
      <c r="AKX1" s="14"/>
      <c r="AKY1" s="14"/>
      <c r="AKZ1" s="14"/>
      <c r="ALA1" s="14"/>
      <c r="ALB1" s="14"/>
      <c r="ALC1" s="14"/>
      <c r="ALD1" s="14"/>
      <c r="ALE1" s="14"/>
      <c r="ALF1" s="14"/>
      <c r="ALG1" s="14"/>
      <c r="ALH1" s="14"/>
      <c r="ALI1" s="14"/>
      <c r="ALJ1" s="14"/>
      <c r="ALK1" s="14"/>
      <c r="ALL1" s="14"/>
      <c r="ALM1" s="14"/>
      <c r="ALN1" s="14"/>
      <c r="ALO1" s="14"/>
      <c r="ALP1" s="14"/>
      <c r="ALQ1" s="14"/>
      <c r="ALR1" s="14"/>
      <c r="ALS1" s="14"/>
      <c r="ALT1" s="14"/>
      <c r="ALU1" s="14"/>
      <c r="ALV1" s="14"/>
      <c r="ALW1" s="14"/>
      <c r="ALX1" s="14"/>
      <c r="ALY1" s="14"/>
      <c r="ALZ1" s="14"/>
      <c r="AMA1" s="14"/>
      <c r="AMB1" s="14"/>
      <c r="AMC1" s="14"/>
      <c r="AMD1" s="14"/>
      <c r="AME1" s="14"/>
      <c r="AMF1" s="14"/>
      <c r="AMG1" s="14"/>
      <c r="AMH1" s="14"/>
      <c r="AMI1" s="14"/>
      <c r="AMJ1" s="14"/>
    </row>
    <row r="2" spans="1:1024" ht="25.5" x14ac:dyDescent="0.2">
      <c r="A2" s="6" t="s">
        <v>129</v>
      </c>
      <c r="B2" s="6" t="s">
        <v>130</v>
      </c>
      <c r="C2" s="6" t="s">
        <v>131</v>
      </c>
      <c r="D2" s="6" t="s">
        <v>65</v>
      </c>
    </row>
    <row r="3" spans="1:1024" x14ac:dyDescent="0.2">
      <c r="A3" s="5" t="s">
        <v>132</v>
      </c>
      <c r="B3" s="5" t="s">
        <v>133</v>
      </c>
      <c r="C3" s="5" t="s">
        <v>134</v>
      </c>
      <c r="D3" s="9">
        <v>43800</v>
      </c>
    </row>
    <row r="4" spans="1:1024" x14ac:dyDescent="0.2">
      <c r="A4" s="5" t="s">
        <v>135</v>
      </c>
      <c r="B4" s="5" t="s">
        <v>133</v>
      </c>
      <c r="C4" s="5" t="s">
        <v>136</v>
      </c>
      <c r="D4" s="9">
        <v>43800</v>
      </c>
    </row>
    <row r="5" spans="1:1024" x14ac:dyDescent="0.2">
      <c r="A5" s="5" t="s">
        <v>137</v>
      </c>
      <c r="B5" s="5" t="s">
        <v>133</v>
      </c>
      <c r="C5" s="5" t="s">
        <v>138</v>
      </c>
      <c r="D5" s="9">
        <v>43800</v>
      </c>
    </row>
    <row r="6" spans="1:1024" x14ac:dyDescent="0.2">
      <c r="A6" s="5" t="s">
        <v>139</v>
      </c>
      <c r="B6" s="5" t="s">
        <v>133</v>
      </c>
      <c r="C6" s="5" t="s">
        <v>140</v>
      </c>
      <c r="D6" s="9">
        <v>43800</v>
      </c>
    </row>
    <row r="7" spans="1:1024" x14ac:dyDescent="0.2">
      <c r="A7" s="5" t="s">
        <v>141</v>
      </c>
      <c r="B7" s="5" t="s">
        <v>133</v>
      </c>
      <c r="C7" s="5" t="s">
        <v>142</v>
      </c>
      <c r="D7" s="9">
        <v>43800</v>
      </c>
    </row>
    <row r="8" spans="1:1024" x14ac:dyDescent="0.2">
      <c r="A8" s="5" t="s">
        <v>143</v>
      </c>
      <c r="B8" s="5" t="s">
        <v>133</v>
      </c>
      <c r="C8" s="5" t="s">
        <v>144</v>
      </c>
      <c r="D8" s="9">
        <v>43800</v>
      </c>
    </row>
    <row r="9" spans="1:1024" x14ac:dyDescent="0.2">
      <c r="A9" s="5" t="s">
        <v>145</v>
      </c>
      <c r="B9" s="5" t="s">
        <v>133</v>
      </c>
      <c r="C9" s="5" t="s">
        <v>146</v>
      </c>
      <c r="D9" s="9">
        <v>43800</v>
      </c>
    </row>
    <row r="10" spans="1:1024" x14ac:dyDescent="0.2">
      <c r="A10" s="5" t="s">
        <v>147</v>
      </c>
      <c r="B10" s="5" t="s">
        <v>133</v>
      </c>
      <c r="C10" s="5" t="s">
        <v>148</v>
      </c>
      <c r="D10" s="9">
        <v>43800</v>
      </c>
    </row>
    <row r="11" spans="1:1024" x14ac:dyDescent="0.2">
      <c r="A11" s="5" t="s">
        <v>149</v>
      </c>
      <c r="B11" s="5" t="s">
        <v>133</v>
      </c>
      <c r="C11" s="5" t="s">
        <v>150</v>
      </c>
      <c r="D11" s="9">
        <v>43800</v>
      </c>
    </row>
    <row r="12" spans="1:1024" x14ac:dyDescent="0.2">
      <c r="A12" s="5" t="s">
        <v>151</v>
      </c>
      <c r="B12" s="5" t="s">
        <v>133</v>
      </c>
      <c r="C12" s="5" t="s">
        <v>152</v>
      </c>
      <c r="D12" s="9">
        <v>43800</v>
      </c>
    </row>
    <row r="13" spans="1:1024" x14ac:dyDescent="0.2">
      <c r="A13" s="5" t="s">
        <v>153</v>
      </c>
      <c r="B13" s="5" t="s">
        <v>133</v>
      </c>
      <c r="C13" s="5" t="s">
        <v>154</v>
      </c>
      <c r="D13" s="9">
        <v>43800</v>
      </c>
    </row>
    <row r="14" spans="1:1024" x14ac:dyDescent="0.2">
      <c r="A14" s="5" t="s">
        <v>155</v>
      </c>
      <c r="B14" s="5" t="s">
        <v>133</v>
      </c>
      <c r="C14" s="5" t="s">
        <v>156</v>
      </c>
      <c r="D14" s="9">
        <v>43800</v>
      </c>
    </row>
    <row r="15" spans="1:1024" x14ac:dyDescent="0.2">
      <c r="A15" s="5" t="s">
        <v>157</v>
      </c>
      <c r="B15" s="5" t="s">
        <v>133</v>
      </c>
      <c r="C15" s="5" t="s">
        <v>158</v>
      </c>
      <c r="D15" s="9">
        <v>43800</v>
      </c>
    </row>
    <row r="16" spans="1:1024" x14ac:dyDescent="0.2">
      <c r="A16" s="5" t="s">
        <v>159</v>
      </c>
      <c r="B16" s="5" t="s">
        <v>133</v>
      </c>
      <c r="C16" s="5" t="s">
        <v>160</v>
      </c>
      <c r="D16" s="9">
        <v>43800</v>
      </c>
    </row>
    <row r="17" spans="1:4" x14ac:dyDescent="0.2">
      <c r="A17" s="5" t="s">
        <v>161</v>
      </c>
      <c r="B17" s="5" t="s">
        <v>133</v>
      </c>
      <c r="C17" s="5" t="s">
        <v>162</v>
      </c>
      <c r="D17" s="9">
        <v>43800</v>
      </c>
    </row>
    <row r="18" spans="1:4" x14ac:dyDescent="0.2">
      <c r="A18" s="5" t="s">
        <v>163</v>
      </c>
      <c r="B18" s="5" t="s">
        <v>133</v>
      </c>
      <c r="C18" s="10" t="s">
        <v>164</v>
      </c>
      <c r="D18" s="9">
        <v>43800</v>
      </c>
    </row>
    <row r="19" spans="1:4" ht="25.5" x14ac:dyDescent="0.2">
      <c r="A19" s="5" t="s">
        <v>165</v>
      </c>
      <c r="B19" s="5" t="s">
        <v>133</v>
      </c>
      <c r="C19" s="10" t="s">
        <v>166</v>
      </c>
      <c r="D19" s="9">
        <v>43800</v>
      </c>
    </row>
    <row r="20" spans="1:4" x14ac:dyDescent="0.2">
      <c r="A20" s="5" t="s">
        <v>167</v>
      </c>
      <c r="B20" s="5" t="s">
        <v>133</v>
      </c>
      <c r="C20" s="10" t="s">
        <v>168</v>
      </c>
      <c r="D20" s="9">
        <v>43800</v>
      </c>
    </row>
    <row r="21" spans="1:4" x14ac:dyDescent="0.2">
      <c r="A21" s="5" t="s">
        <v>169</v>
      </c>
      <c r="B21" s="5" t="s">
        <v>133</v>
      </c>
      <c r="C21" s="10" t="s">
        <v>170</v>
      </c>
      <c r="D21" s="9">
        <v>43800</v>
      </c>
    </row>
    <row r="22" spans="1:4" x14ac:dyDescent="0.2">
      <c r="A22" s="5" t="s">
        <v>171</v>
      </c>
      <c r="B22" s="5" t="s">
        <v>133</v>
      </c>
      <c r="C22" s="10" t="s">
        <v>172</v>
      </c>
      <c r="D22" s="9">
        <v>43800</v>
      </c>
    </row>
    <row r="23" spans="1:4" x14ac:dyDescent="0.2">
      <c r="A23" s="5" t="s">
        <v>173</v>
      </c>
      <c r="B23" s="5" t="s">
        <v>133</v>
      </c>
      <c r="C23" s="10" t="s">
        <v>174</v>
      </c>
      <c r="D23" s="9">
        <v>43800</v>
      </c>
    </row>
    <row r="24" spans="1:4" x14ac:dyDescent="0.2">
      <c r="A24" s="5" t="s">
        <v>175</v>
      </c>
      <c r="B24" s="5" t="s">
        <v>133</v>
      </c>
      <c r="C24" s="10" t="s">
        <v>176</v>
      </c>
      <c r="D24" s="9">
        <v>43800</v>
      </c>
    </row>
    <row r="25" spans="1:4" x14ac:dyDescent="0.2">
      <c r="A25" s="5" t="s">
        <v>177</v>
      </c>
      <c r="B25" s="5" t="s">
        <v>133</v>
      </c>
      <c r="C25" s="10" t="s">
        <v>178</v>
      </c>
      <c r="D25" s="9">
        <v>43800</v>
      </c>
    </row>
    <row r="26" spans="1:4" x14ac:dyDescent="0.2">
      <c r="A26" s="5" t="s">
        <v>179</v>
      </c>
      <c r="B26" s="5" t="s">
        <v>133</v>
      </c>
      <c r="C26" s="10" t="s">
        <v>180</v>
      </c>
      <c r="D26" s="9">
        <v>43800</v>
      </c>
    </row>
    <row r="27" spans="1:4" x14ac:dyDescent="0.2">
      <c r="A27" s="5" t="s">
        <v>181</v>
      </c>
      <c r="B27" s="5" t="s">
        <v>133</v>
      </c>
      <c r="C27" s="10" t="s">
        <v>182</v>
      </c>
      <c r="D27" s="9">
        <v>43800</v>
      </c>
    </row>
    <row r="28" spans="1:4" x14ac:dyDescent="0.2">
      <c r="A28" s="5" t="s">
        <v>183</v>
      </c>
      <c r="B28" s="5" t="s">
        <v>133</v>
      </c>
      <c r="C28" s="10" t="s">
        <v>184</v>
      </c>
      <c r="D28" s="9">
        <v>43800</v>
      </c>
    </row>
    <row r="29" spans="1:4" x14ac:dyDescent="0.2">
      <c r="A29" s="5" t="s">
        <v>185</v>
      </c>
      <c r="B29" s="5" t="s">
        <v>133</v>
      </c>
      <c r="C29" s="10" t="s">
        <v>186</v>
      </c>
      <c r="D29" s="9">
        <v>43800</v>
      </c>
    </row>
    <row r="30" spans="1:4" x14ac:dyDescent="0.2">
      <c r="A30" s="5" t="s">
        <v>187</v>
      </c>
      <c r="B30" s="5" t="s">
        <v>133</v>
      </c>
      <c r="C30" s="10" t="s">
        <v>188</v>
      </c>
      <c r="D30" s="9">
        <v>43800</v>
      </c>
    </row>
    <row r="31" spans="1:4" x14ac:dyDescent="0.2">
      <c r="A31" s="5" t="s">
        <v>189</v>
      </c>
      <c r="B31" s="5" t="s">
        <v>133</v>
      </c>
      <c r="C31" s="10" t="s">
        <v>190</v>
      </c>
      <c r="D31" s="9">
        <v>43800</v>
      </c>
    </row>
    <row r="32" spans="1:4" x14ac:dyDescent="0.2">
      <c r="A32" s="5" t="s">
        <v>191</v>
      </c>
      <c r="B32" s="5" t="s">
        <v>133</v>
      </c>
      <c r="C32" s="10" t="s">
        <v>192</v>
      </c>
      <c r="D32" s="9">
        <v>43800</v>
      </c>
    </row>
    <row r="33" spans="1:4" x14ac:dyDescent="0.2">
      <c r="A33" s="5" t="s">
        <v>193</v>
      </c>
      <c r="B33" s="5" t="s">
        <v>133</v>
      </c>
      <c r="C33" s="10" t="s">
        <v>194</v>
      </c>
      <c r="D33" s="9">
        <v>43800</v>
      </c>
    </row>
    <row r="34" spans="1:4" x14ac:dyDescent="0.2">
      <c r="A34" s="5" t="s">
        <v>195</v>
      </c>
      <c r="B34" s="5" t="s">
        <v>133</v>
      </c>
      <c r="C34" s="10" t="s">
        <v>196</v>
      </c>
      <c r="D34" s="9">
        <v>43800</v>
      </c>
    </row>
    <row r="35" spans="1:4" x14ac:dyDescent="0.2">
      <c r="A35" s="5" t="s">
        <v>197</v>
      </c>
      <c r="B35" s="5" t="s">
        <v>133</v>
      </c>
      <c r="C35" s="10" t="s">
        <v>198</v>
      </c>
      <c r="D35" s="9">
        <v>43800</v>
      </c>
    </row>
    <row r="36" spans="1:4" x14ac:dyDescent="0.2">
      <c r="A36" s="5" t="s">
        <v>199</v>
      </c>
      <c r="B36" s="5" t="s">
        <v>133</v>
      </c>
      <c r="C36" s="10" t="s">
        <v>200</v>
      </c>
      <c r="D36" s="9">
        <v>43800</v>
      </c>
    </row>
    <row r="37" spans="1:4" ht="38.25" x14ac:dyDescent="0.2">
      <c r="A37" s="5" t="s">
        <v>201</v>
      </c>
      <c r="B37" s="5" t="s">
        <v>202</v>
      </c>
      <c r="C37" s="10" t="s">
        <v>203</v>
      </c>
      <c r="D37" s="9">
        <v>43800</v>
      </c>
    </row>
    <row r="38" spans="1:4" x14ac:dyDescent="0.2">
      <c r="A38" s="5" t="s">
        <v>204</v>
      </c>
      <c r="B38" s="5" t="s">
        <v>133</v>
      </c>
      <c r="C38" s="10" t="s">
        <v>205</v>
      </c>
      <c r="D38" s="9">
        <v>43800</v>
      </c>
    </row>
    <row r="39" spans="1:4" x14ac:dyDescent="0.2">
      <c r="A39" s="5" t="s">
        <v>206</v>
      </c>
      <c r="B39" s="5" t="s">
        <v>133</v>
      </c>
      <c r="C39" s="10" t="s">
        <v>207</v>
      </c>
      <c r="D39" s="9">
        <v>43800</v>
      </c>
    </row>
    <row r="40" spans="1:4" x14ac:dyDescent="0.2">
      <c r="A40" s="5" t="s">
        <v>208</v>
      </c>
      <c r="B40" s="5" t="s">
        <v>133</v>
      </c>
      <c r="C40" s="10" t="s">
        <v>209</v>
      </c>
      <c r="D40" s="9">
        <v>43800</v>
      </c>
    </row>
    <row r="41" spans="1:4" x14ac:dyDescent="0.2">
      <c r="A41" s="5" t="s">
        <v>210</v>
      </c>
      <c r="B41" s="5" t="s">
        <v>133</v>
      </c>
      <c r="C41" s="10" t="s">
        <v>211</v>
      </c>
      <c r="D41" s="9">
        <v>43800</v>
      </c>
    </row>
    <row r="42" spans="1:4" x14ac:dyDescent="0.2">
      <c r="A42" s="5" t="s">
        <v>212</v>
      </c>
      <c r="B42" s="5" t="s">
        <v>133</v>
      </c>
      <c r="C42" s="10" t="s">
        <v>213</v>
      </c>
      <c r="D42" s="9">
        <v>43800</v>
      </c>
    </row>
    <row r="43" spans="1:4" x14ac:dyDescent="0.2">
      <c r="A43" s="5" t="s">
        <v>214</v>
      </c>
      <c r="B43" s="5" t="s">
        <v>133</v>
      </c>
      <c r="C43" s="10" t="s">
        <v>215</v>
      </c>
      <c r="D43" s="9">
        <v>43800</v>
      </c>
    </row>
    <row r="44" spans="1:4" x14ac:dyDescent="0.2">
      <c r="A44" s="5" t="s">
        <v>216</v>
      </c>
      <c r="B44" s="5" t="s">
        <v>133</v>
      </c>
      <c r="C44" s="10" t="s">
        <v>217</v>
      </c>
      <c r="D44" s="9">
        <v>43800</v>
      </c>
    </row>
    <row r="45" spans="1:4" x14ac:dyDescent="0.2">
      <c r="A45" s="5" t="s">
        <v>218</v>
      </c>
      <c r="B45" s="5" t="s">
        <v>133</v>
      </c>
      <c r="C45" s="10" t="s">
        <v>219</v>
      </c>
      <c r="D45" s="9">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6"/>
  <sheetViews>
    <sheetView workbookViewId="0">
      <pane xSplit="1" ySplit="2" topLeftCell="B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15.125" style="5" customWidth="1"/>
    <col min="2" max="2" width="45.125" style="5" customWidth="1"/>
    <col min="3" max="3" width="20.625" style="5" customWidth="1"/>
    <col min="4" max="4" width="13.125" style="5" customWidth="1"/>
    <col min="5" max="5" width="7.875" style="5" customWidth="1"/>
    <col min="6" max="6" width="11.625" style="5" customWidth="1"/>
    <col min="7" max="7" width="18" style="5" customWidth="1"/>
    <col min="8" max="8" width="48.125" style="5" customWidth="1"/>
    <col min="9" max="9" width="11.625" style="5" customWidth="1"/>
    <col min="10" max="1027" width="48.125" style="5" customWidth="1"/>
    <col min="1028" max="16384" width="8.625" style="10"/>
  </cols>
  <sheetData>
    <row r="1" spans="1:1027" s="11" customFormat="1" ht="14.1" customHeight="1" x14ac:dyDescent="0.2">
      <c r="A1" s="32" t="str">
        <f>CONCATENATE("Eigenschappen bij zaaktype ",Zaaktype!B2,": ",Zaaktype!B3)</f>
        <v>Eigenschappen bij zaaktype 2: Advies verstrekken (informeel)</v>
      </c>
      <c r="B1" s="33"/>
      <c r="C1" s="33"/>
      <c r="D1" s="33"/>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c r="AMK1" s="22"/>
      <c r="AML1" s="22"/>
      <c r="AMM1" s="22"/>
    </row>
    <row r="2" spans="1:1027" ht="25.5" x14ac:dyDescent="0.2">
      <c r="A2" s="6" t="s">
        <v>220</v>
      </c>
      <c r="B2" s="6" t="s">
        <v>221</v>
      </c>
      <c r="C2" s="6" t="s">
        <v>222</v>
      </c>
      <c r="D2" s="6" t="s">
        <v>223</v>
      </c>
      <c r="E2" s="6" t="s">
        <v>224</v>
      </c>
      <c r="F2" s="6" t="s">
        <v>225</v>
      </c>
      <c r="G2" s="6" t="s">
        <v>226</v>
      </c>
      <c r="H2" s="6" t="s">
        <v>61</v>
      </c>
      <c r="I2" s="6" t="s">
        <v>65</v>
      </c>
    </row>
    <row r="3" spans="1:1027" ht="25.5" x14ac:dyDescent="0.2">
      <c r="A3" s="5" t="s">
        <v>227</v>
      </c>
      <c r="B3" s="5" t="s">
        <v>228</v>
      </c>
      <c r="D3" s="5" t="s">
        <v>229</v>
      </c>
      <c r="I3" s="9">
        <v>43800</v>
      </c>
    </row>
    <row r="4" spans="1:1027" ht="127.5" x14ac:dyDescent="0.2">
      <c r="A4" s="5" t="s">
        <v>230</v>
      </c>
      <c r="B4" s="5" t="s">
        <v>231</v>
      </c>
      <c r="H4" s="5" t="s">
        <v>232</v>
      </c>
      <c r="I4" s="9">
        <v>43800</v>
      </c>
    </row>
    <row r="5" spans="1:1027" ht="25.5" x14ac:dyDescent="0.2">
      <c r="A5" s="5" t="s">
        <v>77</v>
      </c>
      <c r="B5" s="5" t="s">
        <v>233</v>
      </c>
      <c r="D5" s="5" t="s">
        <v>234</v>
      </c>
      <c r="I5" s="9">
        <v>43800</v>
      </c>
    </row>
    <row r="6" spans="1:1027" x14ac:dyDescent="0.2">
      <c r="A6" s="5" t="s">
        <v>81</v>
      </c>
      <c r="B6" s="5" t="s">
        <v>235</v>
      </c>
      <c r="D6" s="5" t="s">
        <v>234</v>
      </c>
      <c r="I6" s="9">
        <v>43800</v>
      </c>
    </row>
  </sheetData>
  <mergeCells count="1">
    <mergeCell ref="A1:D1"/>
  </mergeCells>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D17"/>
  <sheetViews>
    <sheetView workbookViewId="0">
      <pane xSplit="1" ySplit="2" topLeftCell="B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12.625" style="4" customWidth="1"/>
    <col min="2" max="2" width="10.625" style="4" customWidth="1"/>
    <col min="3" max="3" width="30.375" style="4" customWidth="1"/>
    <col min="4" max="1022" width="34.375" style="4" customWidth="1"/>
    <col min="1023" max="16384" width="8.625" style="4"/>
  </cols>
  <sheetData>
    <row r="1" spans="1:4" s="19" customFormat="1" ht="14.1" customHeight="1" x14ac:dyDescent="0.2">
      <c r="A1" s="32" t="str">
        <f>CONCATENATE("Informatieobjecttypen bij zaaktype ",Zaaktype!B2,": ",Zaaktype!B3)</f>
        <v>Informatieobjecttypen bij zaaktype 2: Advies verstrekken (informeel)</v>
      </c>
      <c r="B1" s="32"/>
      <c r="C1" s="32"/>
      <c r="D1" s="32"/>
    </row>
    <row r="2" spans="1:4" s="3" customFormat="1" x14ac:dyDescent="0.2">
      <c r="A2" s="3" t="s">
        <v>236</v>
      </c>
      <c r="B2" s="3" t="s">
        <v>237</v>
      </c>
      <c r="C2" s="3" t="s">
        <v>238</v>
      </c>
    </row>
    <row r="3" spans="1:4" x14ac:dyDescent="0.2">
      <c r="A3" s="4">
        <v>1</v>
      </c>
      <c r="B3" s="4" t="s">
        <v>239</v>
      </c>
      <c r="C3" s="18" t="s">
        <v>240</v>
      </c>
    </row>
    <row r="4" spans="1:4" x14ac:dyDescent="0.2">
      <c r="A4" s="4">
        <v>2</v>
      </c>
      <c r="B4" s="4" t="s">
        <v>241</v>
      </c>
      <c r="C4" s="18" t="s">
        <v>242</v>
      </c>
    </row>
    <row r="5" spans="1:4" x14ac:dyDescent="0.2">
      <c r="A5" s="4">
        <v>3</v>
      </c>
      <c r="B5" s="4" t="s">
        <v>239</v>
      </c>
      <c r="C5" s="18" t="s">
        <v>243</v>
      </c>
    </row>
    <row r="6" spans="1:4" x14ac:dyDescent="0.2">
      <c r="A6" s="4">
        <v>4</v>
      </c>
      <c r="B6" s="4" t="s">
        <v>241</v>
      </c>
      <c r="C6" s="18" t="s">
        <v>244</v>
      </c>
    </row>
    <row r="7" spans="1:4" x14ac:dyDescent="0.2">
      <c r="A7" s="4">
        <v>5</v>
      </c>
      <c r="B7" s="4" t="s">
        <v>239</v>
      </c>
      <c r="C7" s="18" t="s">
        <v>245</v>
      </c>
    </row>
    <row r="8" spans="1:4" x14ac:dyDescent="0.2">
      <c r="A8" s="4">
        <v>6</v>
      </c>
      <c r="B8" s="4" t="s">
        <v>241</v>
      </c>
      <c r="C8" s="18" t="s">
        <v>246</v>
      </c>
    </row>
    <row r="9" spans="1:4" x14ac:dyDescent="0.2">
      <c r="A9" s="4">
        <v>7</v>
      </c>
      <c r="B9" s="4" t="s">
        <v>247</v>
      </c>
      <c r="C9" s="18" t="s">
        <v>248</v>
      </c>
    </row>
    <row r="10" spans="1:4" x14ac:dyDescent="0.2">
      <c r="A10" s="4">
        <v>8</v>
      </c>
      <c r="B10" s="4" t="s">
        <v>241</v>
      </c>
      <c r="C10" s="18" t="s">
        <v>249</v>
      </c>
    </row>
    <row r="11" spans="1:4" x14ac:dyDescent="0.2">
      <c r="A11" s="4">
        <v>9</v>
      </c>
      <c r="B11" s="4" t="s">
        <v>241</v>
      </c>
      <c r="C11" s="18" t="s">
        <v>250</v>
      </c>
    </row>
    <row r="12" spans="1:4" x14ac:dyDescent="0.2">
      <c r="A12" s="4">
        <v>10</v>
      </c>
      <c r="B12" s="4" t="s">
        <v>239</v>
      </c>
      <c r="C12" s="18" t="s">
        <v>248</v>
      </c>
    </row>
    <row r="13" spans="1:4" x14ac:dyDescent="0.2">
      <c r="A13" s="4">
        <v>11</v>
      </c>
      <c r="B13" s="4" t="s">
        <v>241</v>
      </c>
      <c r="C13" s="18" t="s">
        <v>251</v>
      </c>
    </row>
    <row r="14" spans="1:4" x14ac:dyDescent="0.2">
      <c r="A14" s="4">
        <v>12</v>
      </c>
      <c r="B14" s="4" t="s">
        <v>241</v>
      </c>
      <c r="C14" s="18" t="s">
        <v>252</v>
      </c>
    </row>
    <row r="15" spans="1:4" x14ac:dyDescent="0.2">
      <c r="A15" s="4">
        <v>13</v>
      </c>
      <c r="B15" s="4" t="s">
        <v>241</v>
      </c>
      <c r="C15" s="18" t="s">
        <v>253</v>
      </c>
    </row>
    <row r="16" spans="1:4" x14ac:dyDescent="0.2">
      <c r="A16" s="4">
        <v>14</v>
      </c>
      <c r="B16" s="4" t="s">
        <v>239</v>
      </c>
      <c r="C16" s="18" t="s">
        <v>254</v>
      </c>
    </row>
    <row r="17" spans="1:3" x14ac:dyDescent="0.2">
      <c r="A17" s="4">
        <v>15</v>
      </c>
      <c r="B17" s="4" t="s">
        <v>247</v>
      </c>
      <c r="C17" s="4" t="s">
        <v>255</v>
      </c>
    </row>
  </sheetData>
  <mergeCells count="1">
    <mergeCell ref="A1:D1"/>
  </mergeCells>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3"/>
  <sheetViews>
    <sheetView workbookViewId="0">
      <pane xSplit="1" ySplit="2" topLeftCell="B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19.625" style="5" customWidth="1"/>
    <col min="2" max="2" width="11.875" style="5" customWidth="1"/>
    <col min="3" max="1024" width="10.625" style="5" customWidth="1"/>
    <col min="1025" max="16384" width="8.625" style="10"/>
  </cols>
  <sheetData>
    <row r="1" spans="1:1024" s="11" customFormat="1" ht="14.1" customHeight="1" x14ac:dyDescent="0.2">
      <c r="A1" s="32" t="str">
        <f>CONCATENATE("Besluittypen bij zaaktype ",Zaaktype!B2,": ",Zaaktype!B3)</f>
        <v>Besluittypen bij zaaktype 2: Advies verstrekken (informeel)</v>
      </c>
      <c r="B1" s="33"/>
      <c r="C1" s="33"/>
      <c r="D1" s="33"/>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row>
    <row r="2" spans="1:1024" ht="25.5" x14ac:dyDescent="0.2">
      <c r="A2" s="6" t="s">
        <v>256</v>
      </c>
      <c r="B2" s="6" t="s">
        <v>65</v>
      </c>
    </row>
    <row r="3" spans="1:1024" x14ac:dyDescent="0.2">
      <c r="A3" s="18" t="s">
        <v>250</v>
      </c>
      <c r="B3" s="9">
        <v>43800</v>
      </c>
    </row>
  </sheetData>
  <mergeCells count="1">
    <mergeCell ref="A1:D1"/>
  </mergeCells>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S15"/>
  <sheetViews>
    <sheetView workbookViewId="0">
      <pane xSplit="2" ySplit="2" topLeftCell="C3" activePane="bottomRight" state="frozen"/>
      <selection pane="topRight" activeCell="D5" sqref="D5"/>
      <selection pane="bottomLeft" activeCell="D5" sqref="D5"/>
      <selection pane="bottomRight" activeCell="B20" sqref="B20"/>
    </sheetView>
  </sheetViews>
  <sheetFormatPr defaultColWidth="4.375" defaultRowHeight="12.75" x14ac:dyDescent="0.2"/>
  <cols>
    <col min="1" max="1" width="26.125" style="38" bestFit="1" customWidth="1"/>
    <col min="2" max="2" width="9.625" style="38" customWidth="1"/>
    <col min="3" max="3" width="22.375" style="38" bestFit="1" customWidth="1"/>
    <col min="4" max="4" width="22.375" style="38" customWidth="1"/>
    <col min="5" max="5" width="20.625" style="38" customWidth="1"/>
    <col min="6" max="6" width="9.625" style="38" customWidth="1"/>
    <col min="7" max="7" width="20.375" style="38" bestFit="1" customWidth="1"/>
    <col min="8" max="8" width="19.625" style="38" bestFit="1" customWidth="1"/>
    <col min="9" max="9" width="8.625" style="38" customWidth="1"/>
    <col min="10" max="10" width="15.125" style="38" customWidth="1"/>
    <col min="11" max="11" width="21.5" style="38" customWidth="1"/>
    <col min="12" max="16" width="19.125" style="38" customWidth="1"/>
    <col min="17" max="17" width="48.125" style="38" customWidth="1"/>
    <col min="18" max="18" width="26.875" style="38" customWidth="1"/>
    <col min="19" max="19" width="21" style="38" customWidth="1"/>
    <col min="20" max="20" width="26.625" style="38" customWidth="1"/>
    <col min="21" max="21" width="16.625" style="38" bestFit="1" customWidth="1"/>
    <col min="22" max="1033" width="4.375" style="38"/>
    <col min="1034" max="16384" width="4.375" style="39"/>
  </cols>
  <sheetData>
    <row r="1" spans="1:1033" s="35" customFormat="1" x14ac:dyDescent="0.2">
      <c r="A1" s="34" t="str">
        <f>CONCATENATE("Resultaattypen bij zaaktype ",Zaaktype!B2,": ",Zaaktype!B3)</f>
        <v>Resultaattypen bij zaaktype 2: Advies verstrekken (informeel)</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c r="PL1" s="34"/>
      <c r="PM1" s="34"/>
      <c r="PN1" s="34"/>
      <c r="PO1" s="34"/>
      <c r="PP1" s="34"/>
      <c r="PQ1" s="34"/>
      <c r="PR1" s="34"/>
      <c r="PS1" s="34"/>
      <c r="PT1" s="34"/>
      <c r="PU1" s="34"/>
      <c r="PV1" s="34"/>
      <c r="PW1" s="34"/>
      <c r="PX1" s="34"/>
      <c r="PY1" s="34"/>
      <c r="PZ1" s="34"/>
      <c r="QA1" s="34"/>
      <c r="QB1" s="34"/>
      <c r="QC1" s="34"/>
      <c r="QD1" s="34"/>
      <c r="QE1" s="34"/>
      <c r="QF1" s="34"/>
      <c r="QG1" s="34"/>
      <c r="QH1" s="34"/>
      <c r="QI1" s="34"/>
      <c r="QJ1" s="34"/>
      <c r="QK1" s="34"/>
      <c r="QL1" s="34"/>
      <c r="QM1" s="34"/>
      <c r="QN1" s="34"/>
      <c r="QO1" s="34"/>
      <c r="QP1" s="34"/>
      <c r="QQ1" s="34"/>
      <c r="QR1" s="34"/>
      <c r="QS1" s="34"/>
      <c r="QT1" s="34"/>
      <c r="QU1" s="34"/>
      <c r="QV1" s="34"/>
      <c r="QW1" s="34"/>
      <c r="QX1" s="34"/>
      <c r="QY1" s="34"/>
      <c r="QZ1" s="34"/>
      <c r="RA1" s="34"/>
      <c r="RB1" s="34"/>
      <c r="RC1" s="34"/>
      <c r="RD1" s="34"/>
      <c r="RE1" s="34"/>
      <c r="RF1" s="34"/>
      <c r="RG1" s="34"/>
      <c r="RH1" s="34"/>
      <c r="RI1" s="34"/>
      <c r="RJ1" s="34"/>
      <c r="RK1" s="34"/>
      <c r="RL1" s="34"/>
      <c r="RM1" s="34"/>
      <c r="RN1" s="34"/>
      <c r="RO1" s="34"/>
      <c r="RP1" s="34"/>
      <c r="RQ1" s="34"/>
      <c r="RR1" s="34"/>
      <c r="RS1" s="34"/>
      <c r="RT1" s="34"/>
      <c r="RU1" s="34"/>
      <c r="RV1" s="34"/>
      <c r="RW1" s="34"/>
      <c r="RX1" s="34"/>
      <c r="RY1" s="34"/>
      <c r="RZ1" s="34"/>
      <c r="SA1" s="34"/>
      <c r="SB1" s="34"/>
      <c r="SC1" s="34"/>
      <c r="SD1" s="34"/>
      <c r="SE1" s="34"/>
      <c r="SF1" s="34"/>
      <c r="SG1" s="34"/>
      <c r="SH1" s="34"/>
      <c r="SI1" s="34"/>
      <c r="SJ1" s="34"/>
      <c r="SK1" s="34"/>
      <c r="SL1" s="34"/>
      <c r="SM1" s="34"/>
      <c r="SN1" s="34"/>
      <c r="SO1" s="34"/>
      <c r="SP1" s="34"/>
      <c r="SQ1" s="34"/>
      <c r="SR1" s="34"/>
      <c r="SS1" s="34"/>
      <c r="ST1" s="34"/>
      <c r="SU1" s="34"/>
      <c r="SV1" s="34"/>
      <c r="SW1" s="34"/>
      <c r="SX1" s="34"/>
      <c r="SY1" s="34"/>
      <c r="SZ1" s="34"/>
      <c r="TA1" s="34"/>
      <c r="TB1" s="34"/>
      <c r="TC1" s="34"/>
      <c r="TD1" s="34"/>
      <c r="TE1" s="34"/>
      <c r="TF1" s="34"/>
      <c r="TG1" s="34"/>
      <c r="TH1" s="34"/>
      <c r="TI1" s="34"/>
      <c r="TJ1" s="34"/>
      <c r="TK1" s="34"/>
      <c r="TL1" s="34"/>
      <c r="TM1" s="34"/>
      <c r="TN1" s="34"/>
      <c r="TO1" s="34"/>
      <c r="TP1" s="34"/>
      <c r="TQ1" s="34"/>
      <c r="TR1" s="34"/>
      <c r="TS1" s="34"/>
      <c r="TT1" s="34"/>
      <c r="TU1" s="34"/>
      <c r="TV1" s="34"/>
      <c r="TW1" s="34"/>
      <c r="TX1" s="34"/>
      <c r="TY1" s="34"/>
      <c r="TZ1" s="34"/>
      <c r="UA1" s="34"/>
      <c r="UB1" s="34"/>
      <c r="UC1" s="34"/>
      <c r="UD1" s="34"/>
      <c r="UE1" s="34"/>
      <c r="UF1" s="34"/>
      <c r="UG1" s="34"/>
      <c r="UH1" s="34"/>
      <c r="UI1" s="34"/>
      <c r="UJ1" s="34"/>
      <c r="UK1" s="34"/>
      <c r="UL1" s="34"/>
      <c r="UM1" s="34"/>
      <c r="UN1" s="34"/>
      <c r="UO1" s="34"/>
      <c r="UP1" s="34"/>
      <c r="UQ1" s="34"/>
      <c r="UR1" s="34"/>
      <c r="US1" s="34"/>
      <c r="UT1" s="34"/>
      <c r="UU1" s="34"/>
      <c r="UV1" s="34"/>
      <c r="UW1" s="34"/>
      <c r="UX1" s="34"/>
      <c r="UY1" s="34"/>
      <c r="UZ1" s="34"/>
      <c r="VA1" s="34"/>
      <c r="VB1" s="34"/>
      <c r="VC1" s="34"/>
      <c r="VD1" s="34"/>
      <c r="VE1" s="34"/>
      <c r="VF1" s="34"/>
      <c r="VG1" s="34"/>
      <c r="VH1" s="34"/>
      <c r="VI1" s="34"/>
      <c r="VJ1" s="34"/>
      <c r="VK1" s="34"/>
      <c r="VL1" s="34"/>
      <c r="VM1" s="34"/>
      <c r="VN1" s="34"/>
      <c r="VO1" s="34"/>
      <c r="VP1" s="34"/>
      <c r="VQ1" s="34"/>
      <c r="VR1" s="34"/>
      <c r="VS1" s="34"/>
      <c r="VT1" s="34"/>
      <c r="VU1" s="34"/>
      <c r="VV1" s="34"/>
      <c r="VW1" s="34"/>
      <c r="VX1" s="34"/>
      <c r="VY1" s="34"/>
      <c r="VZ1" s="34"/>
      <c r="WA1" s="34"/>
      <c r="WB1" s="34"/>
      <c r="WC1" s="34"/>
      <c r="WD1" s="34"/>
      <c r="WE1" s="34"/>
      <c r="WF1" s="34"/>
      <c r="WG1" s="34"/>
      <c r="WH1" s="34"/>
      <c r="WI1" s="34"/>
      <c r="WJ1" s="34"/>
      <c r="WK1" s="34"/>
      <c r="WL1" s="34"/>
      <c r="WM1" s="34"/>
      <c r="WN1" s="34"/>
      <c r="WO1" s="34"/>
      <c r="WP1" s="34"/>
      <c r="WQ1" s="34"/>
      <c r="WR1" s="34"/>
      <c r="WS1" s="34"/>
      <c r="WT1" s="34"/>
      <c r="WU1" s="34"/>
      <c r="WV1" s="34"/>
      <c r="WW1" s="34"/>
      <c r="WX1" s="34"/>
      <c r="WY1" s="34"/>
      <c r="WZ1" s="34"/>
      <c r="XA1" s="34"/>
      <c r="XB1" s="34"/>
      <c r="XC1" s="34"/>
      <c r="XD1" s="34"/>
      <c r="XE1" s="34"/>
      <c r="XF1" s="34"/>
      <c r="XG1" s="34"/>
      <c r="XH1" s="34"/>
      <c r="XI1" s="34"/>
      <c r="XJ1" s="34"/>
      <c r="XK1" s="34"/>
      <c r="XL1" s="34"/>
      <c r="XM1" s="34"/>
      <c r="XN1" s="34"/>
      <c r="XO1" s="34"/>
      <c r="XP1" s="34"/>
      <c r="XQ1" s="34"/>
      <c r="XR1" s="34"/>
      <c r="XS1" s="34"/>
      <c r="XT1" s="34"/>
      <c r="XU1" s="34"/>
      <c r="XV1" s="34"/>
      <c r="XW1" s="34"/>
      <c r="XX1" s="34"/>
      <c r="XY1" s="34"/>
      <c r="XZ1" s="34"/>
      <c r="YA1" s="34"/>
      <c r="YB1" s="34"/>
      <c r="YC1" s="34"/>
      <c r="YD1" s="34"/>
      <c r="YE1" s="34"/>
      <c r="YF1" s="34"/>
      <c r="YG1" s="34"/>
      <c r="YH1" s="34"/>
      <c r="YI1" s="34"/>
      <c r="YJ1" s="34"/>
      <c r="YK1" s="34"/>
      <c r="YL1" s="34"/>
      <c r="YM1" s="34"/>
      <c r="YN1" s="34"/>
      <c r="YO1" s="34"/>
      <c r="YP1" s="34"/>
      <c r="YQ1" s="34"/>
      <c r="YR1" s="34"/>
      <c r="YS1" s="34"/>
      <c r="YT1" s="34"/>
      <c r="YU1" s="34"/>
      <c r="YV1" s="34"/>
      <c r="YW1" s="34"/>
      <c r="YX1" s="34"/>
      <c r="YY1" s="34"/>
      <c r="YZ1" s="34"/>
      <c r="ZA1" s="34"/>
      <c r="ZB1" s="34"/>
      <c r="ZC1" s="34"/>
      <c r="ZD1" s="34"/>
      <c r="ZE1" s="34"/>
      <c r="ZF1" s="34"/>
      <c r="ZG1" s="34"/>
      <c r="ZH1" s="34"/>
      <c r="ZI1" s="34"/>
      <c r="ZJ1" s="34"/>
      <c r="ZK1" s="34"/>
      <c r="ZL1" s="34"/>
      <c r="ZM1" s="34"/>
      <c r="ZN1" s="34"/>
      <c r="ZO1" s="34"/>
      <c r="ZP1" s="34"/>
      <c r="ZQ1" s="34"/>
      <c r="ZR1" s="34"/>
      <c r="ZS1" s="34"/>
      <c r="ZT1" s="34"/>
      <c r="ZU1" s="34"/>
      <c r="ZV1" s="34"/>
      <c r="ZW1" s="34"/>
      <c r="ZX1" s="34"/>
      <c r="ZY1" s="34"/>
      <c r="ZZ1" s="34"/>
      <c r="AAA1" s="34"/>
      <c r="AAB1" s="34"/>
      <c r="AAC1" s="34"/>
      <c r="AAD1" s="34"/>
      <c r="AAE1" s="34"/>
      <c r="AAF1" s="34"/>
      <c r="AAG1" s="34"/>
      <c r="AAH1" s="34"/>
      <c r="AAI1" s="34"/>
      <c r="AAJ1" s="34"/>
      <c r="AAK1" s="34"/>
      <c r="AAL1" s="34"/>
      <c r="AAM1" s="34"/>
      <c r="AAN1" s="34"/>
      <c r="AAO1" s="34"/>
      <c r="AAP1" s="34"/>
      <c r="AAQ1" s="34"/>
      <c r="AAR1" s="34"/>
      <c r="AAS1" s="34"/>
      <c r="AAT1" s="34"/>
      <c r="AAU1" s="34"/>
      <c r="AAV1" s="34"/>
      <c r="AAW1" s="34"/>
      <c r="AAX1" s="34"/>
      <c r="AAY1" s="34"/>
      <c r="AAZ1" s="34"/>
      <c r="ABA1" s="34"/>
      <c r="ABB1" s="34"/>
      <c r="ABC1" s="34"/>
      <c r="ABD1" s="34"/>
      <c r="ABE1" s="34"/>
      <c r="ABF1" s="34"/>
      <c r="ABG1" s="34"/>
      <c r="ABH1" s="34"/>
      <c r="ABI1" s="34"/>
      <c r="ABJ1" s="34"/>
      <c r="ABK1" s="34"/>
      <c r="ABL1" s="34"/>
      <c r="ABM1" s="34"/>
      <c r="ABN1" s="34"/>
      <c r="ABO1" s="34"/>
      <c r="ABP1" s="34"/>
      <c r="ABQ1" s="34"/>
      <c r="ABR1" s="34"/>
      <c r="ABS1" s="34"/>
      <c r="ABT1" s="34"/>
      <c r="ABU1" s="34"/>
      <c r="ABV1" s="34"/>
      <c r="ABW1" s="34"/>
      <c r="ABX1" s="34"/>
      <c r="ABY1" s="34"/>
      <c r="ABZ1" s="34"/>
      <c r="ACA1" s="34"/>
      <c r="ACB1" s="34"/>
      <c r="ACC1" s="34"/>
      <c r="ACD1" s="34"/>
      <c r="ACE1" s="34"/>
      <c r="ACF1" s="34"/>
      <c r="ACG1" s="34"/>
      <c r="ACH1" s="34"/>
      <c r="ACI1" s="34"/>
      <c r="ACJ1" s="34"/>
      <c r="ACK1" s="34"/>
      <c r="ACL1" s="34"/>
      <c r="ACM1" s="34"/>
      <c r="ACN1" s="34"/>
      <c r="ACO1" s="34"/>
      <c r="ACP1" s="34"/>
      <c r="ACQ1" s="34"/>
      <c r="ACR1" s="34"/>
      <c r="ACS1" s="34"/>
      <c r="ACT1" s="34"/>
      <c r="ACU1" s="34"/>
      <c r="ACV1" s="34"/>
      <c r="ACW1" s="34"/>
      <c r="ACX1" s="34"/>
      <c r="ACY1" s="34"/>
      <c r="ACZ1" s="34"/>
      <c r="ADA1" s="34"/>
      <c r="ADB1" s="34"/>
      <c r="ADC1" s="34"/>
      <c r="ADD1" s="34"/>
      <c r="ADE1" s="34"/>
      <c r="ADF1" s="34"/>
      <c r="ADG1" s="34"/>
      <c r="ADH1" s="34"/>
      <c r="ADI1" s="34"/>
      <c r="ADJ1" s="34"/>
      <c r="ADK1" s="34"/>
      <c r="ADL1" s="34"/>
      <c r="ADM1" s="34"/>
      <c r="ADN1" s="34"/>
      <c r="ADO1" s="34"/>
      <c r="ADP1" s="34"/>
      <c r="ADQ1" s="34"/>
      <c r="ADR1" s="34"/>
      <c r="ADS1" s="34"/>
      <c r="ADT1" s="34"/>
      <c r="ADU1" s="34"/>
      <c r="ADV1" s="34"/>
      <c r="ADW1" s="34"/>
      <c r="ADX1" s="34"/>
      <c r="ADY1" s="34"/>
      <c r="ADZ1" s="34"/>
      <c r="AEA1" s="34"/>
      <c r="AEB1" s="34"/>
      <c r="AEC1" s="34"/>
      <c r="AED1" s="34"/>
      <c r="AEE1" s="34"/>
      <c r="AEF1" s="34"/>
      <c r="AEG1" s="34"/>
      <c r="AEH1" s="34"/>
      <c r="AEI1" s="34"/>
      <c r="AEJ1" s="34"/>
      <c r="AEK1" s="34"/>
      <c r="AEL1" s="34"/>
      <c r="AEM1" s="34"/>
      <c r="AEN1" s="34"/>
      <c r="AEO1" s="34"/>
      <c r="AEP1" s="34"/>
      <c r="AEQ1" s="34"/>
      <c r="AER1" s="34"/>
      <c r="AES1" s="34"/>
      <c r="AET1" s="34"/>
      <c r="AEU1" s="34"/>
      <c r="AEV1" s="34"/>
      <c r="AEW1" s="34"/>
      <c r="AEX1" s="34"/>
      <c r="AEY1" s="34"/>
      <c r="AEZ1" s="34"/>
      <c r="AFA1" s="34"/>
      <c r="AFB1" s="34"/>
      <c r="AFC1" s="34"/>
      <c r="AFD1" s="34"/>
      <c r="AFE1" s="34"/>
      <c r="AFF1" s="34"/>
      <c r="AFG1" s="34"/>
      <c r="AFH1" s="34"/>
      <c r="AFI1" s="34"/>
      <c r="AFJ1" s="34"/>
      <c r="AFK1" s="34"/>
      <c r="AFL1" s="34"/>
      <c r="AFM1" s="34"/>
      <c r="AFN1" s="34"/>
      <c r="AFO1" s="34"/>
      <c r="AFP1" s="34"/>
      <c r="AFQ1" s="34"/>
      <c r="AFR1" s="34"/>
      <c r="AFS1" s="34"/>
      <c r="AFT1" s="34"/>
      <c r="AFU1" s="34"/>
      <c r="AFV1" s="34"/>
      <c r="AFW1" s="34"/>
      <c r="AFX1" s="34"/>
      <c r="AFY1" s="34"/>
      <c r="AFZ1" s="34"/>
      <c r="AGA1" s="34"/>
      <c r="AGB1" s="34"/>
      <c r="AGC1" s="34"/>
      <c r="AGD1" s="34"/>
      <c r="AGE1" s="34"/>
      <c r="AGF1" s="34"/>
      <c r="AGG1" s="34"/>
      <c r="AGH1" s="34"/>
      <c r="AGI1" s="34"/>
      <c r="AGJ1" s="34"/>
      <c r="AGK1" s="34"/>
      <c r="AGL1" s="34"/>
      <c r="AGM1" s="34"/>
      <c r="AGN1" s="34"/>
      <c r="AGO1" s="34"/>
      <c r="AGP1" s="34"/>
      <c r="AGQ1" s="34"/>
      <c r="AGR1" s="34"/>
      <c r="AGS1" s="34"/>
      <c r="AGT1" s="34"/>
      <c r="AGU1" s="34"/>
      <c r="AGV1" s="34"/>
      <c r="AGW1" s="34"/>
      <c r="AGX1" s="34"/>
      <c r="AGY1" s="34"/>
      <c r="AGZ1" s="34"/>
      <c r="AHA1" s="34"/>
      <c r="AHB1" s="34"/>
      <c r="AHC1" s="34"/>
      <c r="AHD1" s="34"/>
      <c r="AHE1" s="34"/>
      <c r="AHF1" s="34"/>
      <c r="AHG1" s="34"/>
      <c r="AHH1" s="34"/>
      <c r="AHI1" s="34"/>
      <c r="AHJ1" s="34"/>
      <c r="AHK1" s="34"/>
      <c r="AHL1" s="34"/>
      <c r="AHM1" s="34"/>
      <c r="AHN1" s="34"/>
      <c r="AHO1" s="34"/>
      <c r="AHP1" s="34"/>
      <c r="AHQ1" s="34"/>
      <c r="AHR1" s="34"/>
      <c r="AHS1" s="34"/>
      <c r="AHT1" s="34"/>
      <c r="AHU1" s="34"/>
      <c r="AHV1" s="34"/>
      <c r="AHW1" s="34"/>
      <c r="AHX1" s="34"/>
      <c r="AHY1" s="34"/>
      <c r="AHZ1" s="34"/>
      <c r="AIA1" s="34"/>
      <c r="AIB1" s="34"/>
      <c r="AIC1" s="34"/>
      <c r="AID1" s="34"/>
      <c r="AIE1" s="34"/>
      <c r="AIF1" s="34"/>
      <c r="AIG1" s="34"/>
      <c r="AIH1" s="34"/>
      <c r="AII1" s="34"/>
      <c r="AIJ1" s="34"/>
      <c r="AIK1" s="34"/>
      <c r="AIL1" s="34"/>
      <c r="AIM1" s="34"/>
      <c r="AIN1" s="34"/>
      <c r="AIO1" s="34"/>
      <c r="AIP1" s="34"/>
      <c r="AIQ1" s="34"/>
      <c r="AIR1" s="34"/>
      <c r="AIS1" s="34"/>
      <c r="AIT1" s="34"/>
      <c r="AIU1" s="34"/>
      <c r="AIV1" s="34"/>
      <c r="AIW1" s="34"/>
      <c r="AIX1" s="34"/>
      <c r="AIY1" s="34"/>
      <c r="AIZ1" s="34"/>
      <c r="AJA1" s="34"/>
      <c r="AJB1" s="34"/>
      <c r="AJC1" s="34"/>
      <c r="AJD1" s="34"/>
      <c r="AJE1" s="34"/>
      <c r="AJF1" s="34"/>
      <c r="AJG1" s="34"/>
      <c r="AJH1" s="34"/>
      <c r="AJI1" s="34"/>
      <c r="AJJ1" s="34"/>
      <c r="AJK1" s="34"/>
      <c r="AJL1" s="34"/>
      <c r="AJM1" s="34"/>
      <c r="AJN1" s="34"/>
      <c r="AJO1" s="34"/>
      <c r="AJP1" s="34"/>
      <c r="AJQ1" s="34"/>
      <c r="AJR1" s="34"/>
      <c r="AJS1" s="34"/>
      <c r="AJT1" s="34"/>
      <c r="AJU1" s="34"/>
      <c r="AJV1" s="34"/>
      <c r="AJW1" s="34"/>
      <c r="AJX1" s="34"/>
      <c r="AJY1" s="34"/>
      <c r="AJZ1" s="34"/>
      <c r="AKA1" s="34"/>
      <c r="AKB1" s="34"/>
      <c r="AKC1" s="34"/>
      <c r="AKD1" s="34"/>
      <c r="AKE1" s="34"/>
      <c r="AKF1" s="34"/>
      <c r="AKG1" s="34"/>
      <c r="AKH1" s="34"/>
      <c r="AKI1" s="34"/>
      <c r="AKJ1" s="34"/>
      <c r="AKK1" s="34"/>
      <c r="AKL1" s="34"/>
      <c r="AKM1" s="34"/>
      <c r="AKN1" s="34"/>
      <c r="AKO1" s="34"/>
      <c r="AKP1" s="34"/>
      <c r="AKQ1" s="34"/>
      <c r="AKR1" s="34"/>
      <c r="AKS1" s="34"/>
      <c r="AKT1" s="34"/>
      <c r="AKU1" s="34"/>
      <c r="AKV1" s="34"/>
      <c r="AKW1" s="34"/>
      <c r="AKX1" s="34"/>
      <c r="AKY1" s="34"/>
      <c r="AKZ1" s="34"/>
      <c r="ALA1" s="34"/>
      <c r="ALB1" s="34"/>
      <c r="ALC1" s="34"/>
      <c r="ALD1" s="34"/>
      <c r="ALE1" s="34"/>
      <c r="ALF1" s="34"/>
      <c r="ALG1" s="34"/>
      <c r="ALH1" s="34"/>
      <c r="ALI1" s="34"/>
      <c r="ALJ1" s="34"/>
      <c r="ALK1" s="34"/>
      <c r="ALL1" s="34"/>
      <c r="ALM1" s="34"/>
      <c r="ALN1" s="34"/>
      <c r="ALO1" s="34"/>
      <c r="ALP1" s="34"/>
      <c r="ALQ1" s="34"/>
      <c r="ALR1" s="34"/>
      <c r="ALS1" s="34"/>
      <c r="ALT1" s="34"/>
      <c r="ALU1" s="34"/>
      <c r="ALV1" s="34"/>
      <c r="ALW1" s="34"/>
      <c r="ALX1" s="34"/>
      <c r="ALY1" s="34"/>
      <c r="ALZ1" s="34"/>
      <c r="AMA1" s="34"/>
      <c r="AMB1" s="34"/>
      <c r="AMC1" s="34"/>
      <c r="AMD1" s="34"/>
      <c r="AME1" s="34"/>
      <c r="AMF1" s="34"/>
      <c r="AMG1" s="34"/>
      <c r="AMH1" s="34"/>
      <c r="AMI1" s="34"/>
      <c r="AMJ1" s="34"/>
      <c r="AMK1" s="34"/>
      <c r="AML1" s="34"/>
      <c r="AMM1" s="34"/>
      <c r="AMN1" s="34"/>
      <c r="AMO1" s="34"/>
      <c r="AMP1" s="34"/>
      <c r="AMQ1" s="34"/>
      <c r="AMR1" s="34"/>
      <c r="AMS1" s="34"/>
    </row>
    <row r="2" spans="1:1033" s="37" customFormat="1" ht="38.25" x14ac:dyDescent="0.2">
      <c r="A2" s="36" t="s">
        <v>257</v>
      </c>
      <c r="B2" s="36" t="s">
        <v>258</v>
      </c>
      <c r="C2" s="36" t="s">
        <v>259</v>
      </c>
      <c r="D2" s="36" t="s">
        <v>260</v>
      </c>
      <c r="E2" s="36" t="s">
        <v>261</v>
      </c>
      <c r="F2" s="36" t="s">
        <v>262</v>
      </c>
      <c r="G2" s="36" t="s">
        <v>263</v>
      </c>
      <c r="H2" s="36" t="s">
        <v>264</v>
      </c>
      <c r="I2" s="36" t="s">
        <v>265</v>
      </c>
      <c r="J2" s="36" t="s">
        <v>266</v>
      </c>
      <c r="K2" s="36" t="s">
        <v>267</v>
      </c>
      <c r="L2" s="36" t="s">
        <v>268</v>
      </c>
      <c r="M2" s="36" t="s">
        <v>269</v>
      </c>
      <c r="N2" s="36" t="s">
        <v>270</v>
      </c>
      <c r="O2" s="36" t="s">
        <v>271</v>
      </c>
      <c r="P2" s="36" t="s">
        <v>272</v>
      </c>
      <c r="Q2" s="36" t="s">
        <v>11</v>
      </c>
      <c r="R2" s="36" t="s">
        <v>273</v>
      </c>
      <c r="S2" s="36" t="s">
        <v>274</v>
      </c>
      <c r="T2" s="36" t="s">
        <v>275</v>
      </c>
      <c r="U2" s="36" t="s">
        <v>276</v>
      </c>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c r="ES2" s="36"/>
      <c r="ET2" s="36"/>
      <c r="EU2" s="36"/>
      <c r="EV2" s="36"/>
      <c r="EW2" s="36"/>
      <c r="EX2" s="36"/>
      <c r="EY2" s="36"/>
      <c r="EZ2" s="36"/>
      <c r="FA2" s="36"/>
      <c r="FB2" s="36"/>
      <c r="FC2" s="36"/>
      <c r="FD2" s="36"/>
      <c r="FE2" s="36"/>
      <c r="FF2" s="36"/>
      <c r="FG2" s="36"/>
      <c r="FH2" s="36"/>
      <c r="FI2" s="36"/>
      <c r="FJ2" s="36"/>
      <c r="FK2" s="36"/>
      <c r="FL2" s="36"/>
      <c r="FM2" s="36"/>
      <c r="FN2" s="36"/>
      <c r="FO2" s="36"/>
      <c r="FP2" s="36"/>
      <c r="FQ2" s="36"/>
      <c r="FR2" s="36"/>
      <c r="FS2" s="36"/>
      <c r="FT2" s="36"/>
      <c r="FU2" s="36"/>
      <c r="FV2" s="36"/>
      <c r="FW2" s="36"/>
      <c r="FX2" s="36"/>
      <c r="FY2" s="36"/>
      <c r="FZ2" s="36"/>
      <c r="GA2" s="36"/>
      <c r="GB2" s="36"/>
      <c r="GC2" s="36"/>
      <c r="GD2" s="36"/>
      <c r="GE2" s="36"/>
      <c r="GF2" s="36"/>
      <c r="GG2" s="36"/>
      <c r="GH2" s="36"/>
      <c r="GI2" s="36"/>
      <c r="GJ2" s="36"/>
      <c r="GK2" s="36"/>
      <c r="GL2" s="36"/>
      <c r="GM2" s="36"/>
      <c r="GN2" s="36"/>
      <c r="GO2" s="36"/>
      <c r="GP2" s="36"/>
      <c r="GQ2" s="36"/>
      <c r="GR2" s="36"/>
      <c r="GS2" s="36"/>
      <c r="GT2" s="36"/>
      <c r="GU2" s="36"/>
      <c r="GV2" s="36"/>
      <c r="GW2" s="36"/>
      <c r="GX2" s="36"/>
      <c r="GY2" s="36"/>
      <c r="GZ2" s="36"/>
      <c r="HA2" s="36"/>
      <c r="HB2" s="36"/>
      <c r="HC2" s="36"/>
      <c r="HD2" s="36"/>
      <c r="HE2" s="36"/>
      <c r="HF2" s="36"/>
      <c r="HG2" s="36"/>
      <c r="HH2" s="36"/>
      <c r="HI2" s="36"/>
      <c r="HJ2" s="36"/>
      <c r="HK2" s="36"/>
      <c r="HL2" s="36"/>
      <c r="HM2" s="36"/>
      <c r="HN2" s="36"/>
      <c r="HO2" s="36"/>
      <c r="HP2" s="36"/>
      <c r="HQ2" s="36"/>
      <c r="HR2" s="36"/>
      <c r="HS2" s="36"/>
      <c r="HT2" s="36"/>
      <c r="HU2" s="36"/>
      <c r="HV2" s="36"/>
      <c r="HW2" s="36"/>
      <c r="HX2" s="36"/>
      <c r="HY2" s="36"/>
      <c r="HZ2" s="36"/>
      <c r="IA2" s="36"/>
      <c r="IB2" s="36"/>
      <c r="IC2" s="36"/>
      <c r="ID2" s="36"/>
      <c r="IE2" s="36"/>
      <c r="IF2" s="36"/>
      <c r="IG2" s="36"/>
      <c r="IH2" s="36"/>
      <c r="II2" s="36"/>
      <c r="IJ2" s="36"/>
      <c r="IK2" s="36"/>
      <c r="IL2" s="36"/>
      <c r="IM2" s="36"/>
      <c r="IN2" s="36"/>
      <c r="IO2" s="36"/>
      <c r="IP2" s="36"/>
      <c r="IQ2" s="36"/>
      <c r="IR2" s="36"/>
      <c r="IS2" s="36"/>
      <c r="IT2" s="36"/>
      <c r="IU2" s="36"/>
      <c r="IV2" s="36"/>
      <c r="IW2" s="36"/>
      <c r="IX2" s="36"/>
      <c r="IY2" s="36"/>
      <c r="IZ2" s="36"/>
      <c r="JA2" s="36"/>
      <c r="JB2" s="36"/>
      <c r="JC2" s="36"/>
      <c r="JD2" s="36"/>
      <c r="JE2" s="36"/>
      <c r="JF2" s="36"/>
      <c r="JG2" s="36"/>
      <c r="JH2" s="36"/>
      <c r="JI2" s="36"/>
      <c r="JJ2" s="36"/>
      <c r="JK2" s="36"/>
      <c r="JL2" s="36"/>
      <c r="JM2" s="36"/>
      <c r="JN2" s="36"/>
      <c r="JO2" s="36"/>
      <c r="JP2" s="36"/>
      <c r="JQ2" s="36"/>
      <c r="JR2" s="36"/>
      <c r="JS2" s="36"/>
      <c r="JT2" s="36"/>
      <c r="JU2" s="36"/>
      <c r="JV2" s="36"/>
      <c r="JW2" s="36"/>
      <c r="JX2" s="36"/>
      <c r="JY2" s="36"/>
      <c r="JZ2" s="36"/>
      <c r="KA2" s="36"/>
      <c r="KB2" s="36"/>
      <c r="KC2" s="36"/>
      <c r="KD2" s="36"/>
      <c r="KE2" s="36"/>
      <c r="KF2" s="36"/>
      <c r="KG2" s="36"/>
      <c r="KH2" s="36"/>
      <c r="KI2" s="36"/>
      <c r="KJ2" s="36"/>
      <c r="KK2" s="36"/>
      <c r="KL2" s="36"/>
      <c r="KM2" s="36"/>
      <c r="KN2" s="36"/>
      <c r="KO2" s="36"/>
      <c r="KP2" s="36"/>
      <c r="KQ2" s="36"/>
      <c r="KR2" s="36"/>
      <c r="KS2" s="36"/>
      <c r="KT2" s="36"/>
      <c r="KU2" s="36"/>
      <c r="KV2" s="36"/>
      <c r="KW2" s="36"/>
      <c r="KX2" s="36"/>
      <c r="KY2" s="36"/>
      <c r="KZ2" s="36"/>
      <c r="LA2" s="36"/>
      <c r="LB2" s="36"/>
      <c r="LC2" s="36"/>
      <c r="LD2" s="36"/>
      <c r="LE2" s="36"/>
      <c r="LF2" s="36"/>
      <c r="LG2" s="36"/>
      <c r="LH2" s="36"/>
      <c r="LI2" s="36"/>
      <c r="LJ2" s="36"/>
      <c r="LK2" s="36"/>
      <c r="LL2" s="36"/>
      <c r="LM2" s="36"/>
      <c r="LN2" s="36"/>
      <c r="LO2" s="36"/>
      <c r="LP2" s="36"/>
      <c r="LQ2" s="36"/>
      <c r="LR2" s="36"/>
      <c r="LS2" s="36"/>
      <c r="LT2" s="36"/>
      <c r="LU2" s="36"/>
      <c r="LV2" s="36"/>
      <c r="LW2" s="36"/>
      <c r="LX2" s="36"/>
      <c r="LY2" s="36"/>
      <c r="LZ2" s="36"/>
      <c r="MA2" s="36"/>
      <c r="MB2" s="36"/>
      <c r="MC2" s="36"/>
      <c r="MD2" s="36"/>
      <c r="ME2" s="36"/>
      <c r="MF2" s="36"/>
      <c r="MG2" s="36"/>
      <c r="MH2" s="36"/>
      <c r="MI2" s="36"/>
      <c r="MJ2" s="36"/>
      <c r="MK2" s="36"/>
      <c r="ML2" s="36"/>
      <c r="MM2" s="36"/>
      <c r="MN2" s="36"/>
      <c r="MO2" s="36"/>
      <c r="MP2" s="36"/>
      <c r="MQ2" s="36"/>
      <c r="MR2" s="36"/>
      <c r="MS2" s="36"/>
      <c r="MT2" s="36"/>
      <c r="MU2" s="36"/>
      <c r="MV2" s="36"/>
      <c r="MW2" s="36"/>
      <c r="MX2" s="36"/>
      <c r="MY2" s="36"/>
      <c r="MZ2" s="36"/>
      <c r="NA2" s="36"/>
      <c r="NB2" s="36"/>
      <c r="NC2" s="36"/>
      <c r="ND2" s="36"/>
      <c r="NE2" s="36"/>
      <c r="NF2" s="36"/>
      <c r="NG2" s="36"/>
      <c r="NH2" s="36"/>
      <c r="NI2" s="36"/>
      <c r="NJ2" s="36"/>
      <c r="NK2" s="36"/>
      <c r="NL2" s="36"/>
      <c r="NM2" s="36"/>
      <c r="NN2" s="36"/>
      <c r="NO2" s="36"/>
      <c r="NP2" s="36"/>
      <c r="NQ2" s="36"/>
      <c r="NR2" s="36"/>
      <c r="NS2" s="36"/>
      <c r="NT2" s="36"/>
      <c r="NU2" s="36"/>
      <c r="NV2" s="36"/>
      <c r="NW2" s="36"/>
      <c r="NX2" s="36"/>
      <c r="NY2" s="36"/>
      <c r="NZ2" s="36"/>
      <c r="OA2" s="36"/>
      <c r="OB2" s="36"/>
      <c r="OC2" s="36"/>
      <c r="OD2" s="36"/>
      <c r="OE2" s="36"/>
      <c r="OF2" s="36"/>
      <c r="OG2" s="36"/>
      <c r="OH2" s="36"/>
      <c r="OI2" s="36"/>
      <c r="OJ2" s="36"/>
      <c r="OK2" s="36"/>
      <c r="OL2" s="36"/>
      <c r="OM2" s="36"/>
      <c r="ON2" s="36"/>
      <c r="OO2" s="36"/>
      <c r="OP2" s="36"/>
      <c r="OQ2" s="36"/>
      <c r="OR2" s="36"/>
      <c r="OS2" s="36"/>
      <c r="OT2" s="36"/>
      <c r="OU2" s="36"/>
      <c r="OV2" s="36"/>
      <c r="OW2" s="36"/>
      <c r="OX2" s="36"/>
      <c r="OY2" s="36"/>
      <c r="OZ2" s="36"/>
      <c r="PA2" s="36"/>
      <c r="PB2" s="36"/>
      <c r="PC2" s="36"/>
      <c r="PD2" s="36"/>
      <c r="PE2" s="36"/>
      <c r="PF2" s="36"/>
      <c r="PG2" s="36"/>
      <c r="PH2" s="36"/>
      <c r="PI2" s="36"/>
      <c r="PJ2" s="36"/>
      <c r="PK2" s="36"/>
      <c r="PL2" s="36"/>
      <c r="PM2" s="36"/>
      <c r="PN2" s="36"/>
      <c r="PO2" s="36"/>
      <c r="PP2" s="36"/>
      <c r="PQ2" s="36"/>
      <c r="PR2" s="36"/>
      <c r="PS2" s="36"/>
      <c r="PT2" s="36"/>
      <c r="PU2" s="36"/>
      <c r="PV2" s="36"/>
      <c r="PW2" s="36"/>
      <c r="PX2" s="36"/>
      <c r="PY2" s="36"/>
      <c r="PZ2" s="36"/>
      <c r="QA2" s="36"/>
      <c r="QB2" s="36"/>
      <c r="QC2" s="36"/>
      <c r="QD2" s="36"/>
      <c r="QE2" s="36"/>
      <c r="QF2" s="36"/>
      <c r="QG2" s="36"/>
      <c r="QH2" s="36"/>
      <c r="QI2" s="36"/>
      <c r="QJ2" s="36"/>
      <c r="QK2" s="36"/>
      <c r="QL2" s="36"/>
      <c r="QM2" s="36"/>
      <c r="QN2" s="36"/>
      <c r="QO2" s="36"/>
      <c r="QP2" s="36"/>
      <c r="QQ2" s="36"/>
      <c r="QR2" s="36"/>
      <c r="QS2" s="36"/>
      <c r="QT2" s="36"/>
      <c r="QU2" s="36"/>
      <c r="QV2" s="36"/>
      <c r="QW2" s="36"/>
      <c r="QX2" s="36"/>
      <c r="QY2" s="36"/>
      <c r="QZ2" s="36"/>
      <c r="RA2" s="36"/>
      <c r="RB2" s="36"/>
      <c r="RC2" s="36"/>
      <c r="RD2" s="36"/>
      <c r="RE2" s="36"/>
      <c r="RF2" s="36"/>
      <c r="RG2" s="36"/>
      <c r="RH2" s="36"/>
      <c r="RI2" s="36"/>
      <c r="RJ2" s="36"/>
      <c r="RK2" s="36"/>
      <c r="RL2" s="36"/>
      <c r="RM2" s="36"/>
      <c r="RN2" s="36"/>
      <c r="RO2" s="36"/>
      <c r="RP2" s="36"/>
      <c r="RQ2" s="36"/>
      <c r="RR2" s="36"/>
      <c r="RS2" s="36"/>
      <c r="RT2" s="36"/>
      <c r="RU2" s="36"/>
      <c r="RV2" s="36"/>
      <c r="RW2" s="36"/>
      <c r="RX2" s="36"/>
      <c r="RY2" s="36"/>
      <c r="RZ2" s="36"/>
      <c r="SA2" s="36"/>
      <c r="SB2" s="36"/>
      <c r="SC2" s="36"/>
      <c r="SD2" s="36"/>
      <c r="SE2" s="36"/>
      <c r="SF2" s="36"/>
      <c r="SG2" s="36"/>
      <c r="SH2" s="36"/>
      <c r="SI2" s="36"/>
      <c r="SJ2" s="36"/>
      <c r="SK2" s="36"/>
      <c r="SL2" s="36"/>
      <c r="SM2" s="36"/>
      <c r="SN2" s="36"/>
      <c r="SO2" s="36"/>
      <c r="SP2" s="36"/>
      <c r="SQ2" s="36"/>
      <c r="SR2" s="36"/>
      <c r="SS2" s="36"/>
      <c r="ST2" s="36"/>
      <c r="SU2" s="36"/>
      <c r="SV2" s="36"/>
      <c r="SW2" s="36"/>
      <c r="SX2" s="36"/>
      <c r="SY2" s="36"/>
      <c r="SZ2" s="36"/>
      <c r="TA2" s="36"/>
      <c r="TB2" s="36"/>
      <c r="TC2" s="36"/>
      <c r="TD2" s="36"/>
      <c r="TE2" s="36"/>
      <c r="TF2" s="36"/>
      <c r="TG2" s="36"/>
      <c r="TH2" s="36"/>
      <c r="TI2" s="36"/>
      <c r="TJ2" s="36"/>
      <c r="TK2" s="36"/>
      <c r="TL2" s="36"/>
      <c r="TM2" s="36"/>
      <c r="TN2" s="36"/>
      <c r="TO2" s="36"/>
      <c r="TP2" s="36"/>
      <c r="TQ2" s="36"/>
      <c r="TR2" s="36"/>
      <c r="TS2" s="36"/>
      <c r="TT2" s="36"/>
      <c r="TU2" s="36"/>
      <c r="TV2" s="36"/>
      <c r="TW2" s="36"/>
      <c r="TX2" s="36"/>
      <c r="TY2" s="36"/>
      <c r="TZ2" s="36"/>
      <c r="UA2" s="36"/>
      <c r="UB2" s="36"/>
      <c r="UC2" s="36"/>
      <c r="UD2" s="36"/>
      <c r="UE2" s="36"/>
      <c r="UF2" s="36"/>
      <c r="UG2" s="36"/>
      <c r="UH2" s="36"/>
      <c r="UI2" s="36"/>
      <c r="UJ2" s="36"/>
      <c r="UK2" s="36"/>
      <c r="UL2" s="36"/>
      <c r="UM2" s="36"/>
      <c r="UN2" s="36"/>
      <c r="UO2" s="36"/>
      <c r="UP2" s="36"/>
      <c r="UQ2" s="36"/>
      <c r="UR2" s="36"/>
      <c r="US2" s="36"/>
      <c r="UT2" s="36"/>
      <c r="UU2" s="36"/>
      <c r="UV2" s="36"/>
      <c r="UW2" s="36"/>
      <c r="UX2" s="36"/>
      <c r="UY2" s="36"/>
      <c r="UZ2" s="36"/>
      <c r="VA2" s="36"/>
      <c r="VB2" s="36"/>
      <c r="VC2" s="36"/>
      <c r="VD2" s="36"/>
      <c r="VE2" s="36"/>
      <c r="VF2" s="36"/>
      <c r="VG2" s="36"/>
      <c r="VH2" s="36"/>
      <c r="VI2" s="36"/>
      <c r="VJ2" s="36"/>
      <c r="VK2" s="36"/>
      <c r="VL2" s="36"/>
      <c r="VM2" s="36"/>
      <c r="VN2" s="36"/>
      <c r="VO2" s="36"/>
      <c r="VP2" s="36"/>
      <c r="VQ2" s="36"/>
      <c r="VR2" s="36"/>
      <c r="VS2" s="36"/>
      <c r="VT2" s="36"/>
      <c r="VU2" s="36"/>
      <c r="VV2" s="36"/>
      <c r="VW2" s="36"/>
      <c r="VX2" s="36"/>
      <c r="VY2" s="36"/>
      <c r="VZ2" s="36"/>
      <c r="WA2" s="36"/>
      <c r="WB2" s="36"/>
      <c r="WC2" s="36"/>
      <c r="WD2" s="36"/>
      <c r="WE2" s="36"/>
      <c r="WF2" s="36"/>
      <c r="WG2" s="36"/>
      <c r="WH2" s="36"/>
      <c r="WI2" s="36"/>
      <c r="WJ2" s="36"/>
      <c r="WK2" s="36"/>
      <c r="WL2" s="36"/>
      <c r="WM2" s="36"/>
      <c r="WN2" s="36"/>
      <c r="WO2" s="36"/>
      <c r="WP2" s="36"/>
      <c r="WQ2" s="36"/>
      <c r="WR2" s="36"/>
      <c r="WS2" s="36"/>
      <c r="WT2" s="36"/>
      <c r="WU2" s="36"/>
      <c r="WV2" s="36"/>
      <c r="WW2" s="36"/>
      <c r="WX2" s="36"/>
      <c r="WY2" s="36"/>
      <c r="WZ2" s="36"/>
      <c r="XA2" s="36"/>
      <c r="XB2" s="36"/>
      <c r="XC2" s="36"/>
      <c r="XD2" s="36"/>
      <c r="XE2" s="36"/>
      <c r="XF2" s="36"/>
      <c r="XG2" s="36"/>
      <c r="XH2" s="36"/>
      <c r="XI2" s="36"/>
      <c r="XJ2" s="36"/>
      <c r="XK2" s="36"/>
      <c r="XL2" s="36"/>
      <c r="XM2" s="36"/>
      <c r="XN2" s="36"/>
      <c r="XO2" s="36"/>
      <c r="XP2" s="36"/>
      <c r="XQ2" s="36"/>
      <c r="XR2" s="36"/>
      <c r="XS2" s="36"/>
      <c r="XT2" s="36"/>
      <c r="XU2" s="36"/>
      <c r="XV2" s="36"/>
      <c r="XW2" s="36"/>
      <c r="XX2" s="36"/>
      <c r="XY2" s="36"/>
      <c r="XZ2" s="36"/>
      <c r="YA2" s="36"/>
      <c r="YB2" s="36"/>
      <c r="YC2" s="36"/>
      <c r="YD2" s="36"/>
      <c r="YE2" s="36"/>
      <c r="YF2" s="36"/>
      <c r="YG2" s="36"/>
      <c r="YH2" s="36"/>
      <c r="YI2" s="36"/>
      <c r="YJ2" s="36"/>
      <c r="YK2" s="36"/>
      <c r="YL2" s="36"/>
      <c r="YM2" s="36"/>
      <c r="YN2" s="36"/>
      <c r="YO2" s="36"/>
      <c r="YP2" s="36"/>
      <c r="YQ2" s="36"/>
      <c r="YR2" s="36"/>
      <c r="YS2" s="36"/>
      <c r="YT2" s="36"/>
      <c r="YU2" s="36"/>
      <c r="YV2" s="36"/>
      <c r="YW2" s="36"/>
      <c r="YX2" s="36"/>
      <c r="YY2" s="36"/>
      <c r="YZ2" s="36"/>
      <c r="ZA2" s="36"/>
      <c r="ZB2" s="36"/>
      <c r="ZC2" s="36"/>
      <c r="ZD2" s="36"/>
      <c r="ZE2" s="36"/>
      <c r="ZF2" s="36"/>
      <c r="ZG2" s="36"/>
      <c r="ZH2" s="36"/>
      <c r="ZI2" s="36"/>
      <c r="ZJ2" s="36"/>
      <c r="ZK2" s="36"/>
      <c r="ZL2" s="36"/>
      <c r="ZM2" s="36"/>
      <c r="ZN2" s="36"/>
      <c r="ZO2" s="36"/>
      <c r="ZP2" s="36"/>
      <c r="ZQ2" s="36"/>
      <c r="ZR2" s="36"/>
      <c r="ZS2" s="36"/>
      <c r="ZT2" s="36"/>
      <c r="ZU2" s="36"/>
      <c r="ZV2" s="36"/>
      <c r="ZW2" s="36"/>
      <c r="ZX2" s="36"/>
      <c r="ZY2" s="36"/>
      <c r="ZZ2" s="36"/>
      <c r="AAA2" s="36"/>
      <c r="AAB2" s="36"/>
      <c r="AAC2" s="36"/>
      <c r="AAD2" s="36"/>
      <c r="AAE2" s="36"/>
      <c r="AAF2" s="36"/>
      <c r="AAG2" s="36"/>
      <c r="AAH2" s="36"/>
      <c r="AAI2" s="36"/>
      <c r="AAJ2" s="36"/>
      <c r="AAK2" s="36"/>
      <c r="AAL2" s="36"/>
      <c r="AAM2" s="36"/>
      <c r="AAN2" s="36"/>
      <c r="AAO2" s="36"/>
      <c r="AAP2" s="36"/>
      <c r="AAQ2" s="36"/>
      <c r="AAR2" s="36"/>
      <c r="AAS2" s="36"/>
      <c r="AAT2" s="36"/>
      <c r="AAU2" s="36"/>
      <c r="AAV2" s="36"/>
      <c r="AAW2" s="36"/>
      <c r="AAX2" s="36"/>
      <c r="AAY2" s="36"/>
      <c r="AAZ2" s="36"/>
      <c r="ABA2" s="36"/>
      <c r="ABB2" s="36"/>
      <c r="ABC2" s="36"/>
      <c r="ABD2" s="36"/>
      <c r="ABE2" s="36"/>
      <c r="ABF2" s="36"/>
      <c r="ABG2" s="36"/>
      <c r="ABH2" s="36"/>
      <c r="ABI2" s="36"/>
      <c r="ABJ2" s="36"/>
      <c r="ABK2" s="36"/>
      <c r="ABL2" s="36"/>
      <c r="ABM2" s="36"/>
      <c r="ABN2" s="36"/>
      <c r="ABO2" s="36"/>
      <c r="ABP2" s="36"/>
      <c r="ABQ2" s="36"/>
      <c r="ABR2" s="36"/>
      <c r="ABS2" s="36"/>
      <c r="ABT2" s="36"/>
      <c r="ABU2" s="36"/>
      <c r="ABV2" s="36"/>
      <c r="ABW2" s="36"/>
      <c r="ABX2" s="36"/>
      <c r="ABY2" s="36"/>
      <c r="ABZ2" s="36"/>
      <c r="ACA2" s="36"/>
      <c r="ACB2" s="36"/>
      <c r="ACC2" s="36"/>
      <c r="ACD2" s="36"/>
      <c r="ACE2" s="36"/>
      <c r="ACF2" s="36"/>
      <c r="ACG2" s="36"/>
      <c r="ACH2" s="36"/>
      <c r="ACI2" s="36"/>
      <c r="ACJ2" s="36"/>
      <c r="ACK2" s="36"/>
      <c r="ACL2" s="36"/>
      <c r="ACM2" s="36"/>
      <c r="ACN2" s="36"/>
      <c r="ACO2" s="36"/>
      <c r="ACP2" s="36"/>
      <c r="ACQ2" s="36"/>
      <c r="ACR2" s="36"/>
      <c r="ACS2" s="36"/>
      <c r="ACT2" s="36"/>
      <c r="ACU2" s="36"/>
      <c r="ACV2" s="36"/>
      <c r="ACW2" s="36"/>
      <c r="ACX2" s="36"/>
      <c r="ACY2" s="36"/>
      <c r="ACZ2" s="36"/>
      <c r="ADA2" s="36"/>
      <c r="ADB2" s="36"/>
      <c r="ADC2" s="36"/>
      <c r="ADD2" s="36"/>
      <c r="ADE2" s="36"/>
      <c r="ADF2" s="36"/>
      <c r="ADG2" s="36"/>
      <c r="ADH2" s="36"/>
      <c r="ADI2" s="36"/>
      <c r="ADJ2" s="36"/>
      <c r="ADK2" s="36"/>
      <c r="ADL2" s="36"/>
      <c r="ADM2" s="36"/>
      <c r="ADN2" s="36"/>
      <c r="ADO2" s="36"/>
      <c r="ADP2" s="36"/>
      <c r="ADQ2" s="36"/>
      <c r="ADR2" s="36"/>
      <c r="ADS2" s="36"/>
      <c r="ADT2" s="36"/>
      <c r="ADU2" s="36"/>
      <c r="ADV2" s="36"/>
      <c r="ADW2" s="36"/>
      <c r="ADX2" s="36"/>
      <c r="ADY2" s="36"/>
      <c r="ADZ2" s="36"/>
      <c r="AEA2" s="36"/>
      <c r="AEB2" s="36"/>
      <c r="AEC2" s="36"/>
      <c r="AED2" s="36"/>
      <c r="AEE2" s="36"/>
      <c r="AEF2" s="36"/>
      <c r="AEG2" s="36"/>
      <c r="AEH2" s="36"/>
      <c r="AEI2" s="36"/>
      <c r="AEJ2" s="36"/>
      <c r="AEK2" s="36"/>
      <c r="AEL2" s="36"/>
      <c r="AEM2" s="36"/>
      <c r="AEN2" s="36"/>
      <c r="AEO2" s="36"/>
      <c r="AEP2" s="36"/>
      <c r="AEQ2" s="36"/>
      <c r="AER2" s="36"/>
      <c r="AES2" s="36"/>
      <c r="AET2" s="36"/>
      <c r="AEU2" s="36"/>
      <c r="AEV2" s="36"/>
      <c r="AEW2" s="36"/>
      <c r="AEX2" s="36"/>
      <c r="AEY2" s="36"/>
      <c r="AEZ2" s="36"/>
      <c r="AFA2" s="36"/>
      <c r="AFB2" s="36"/>
      <c r="AFC2" s="36"/>
      <c r="AFD2" s="36"/>
      <c r="AFE2" s="36"/>
      <c r="AFF2" s="36"/>
      <c r="AFG2" s="36"/>
      <c r="AFH2" s="36"/>
      <c r="AFI2" s="36"/>
      <c r="AFJ2" s="36"/>
      <c r="AFK2" s="36"/>
      <c r="AFL2" s="36"/>
      <c r="AFM2" s="36"/>
      <c r="AFN2" s="36"/>
      <c r="AFO2" s="36"/>
      <c r="AFP2" s="36"/>
      <c r="AFQ2" s="36"/>
      <c r="AFR2" s="36"/>
      <c r="AFS2" s="36"/>
      <c r="AFT2" s="36"/>
      <c r="AFU2" s="36"/>
      <c r="AFV2" s="36"/>
      <c r="AFW2" s="36"/>
      <c r="AFX2" s="36"/>
      <c r="AFY2" s="36"/>
      <c r="AFZ2" s="36"/>
      <c r="AGA2" s="36"/>
      <c r="AGB2" s="36"/>
      <c r="AGC2" s="36"/>
      <c r="AGD2" s="36"/>
      <c r="AGE2" s="36"/>
      <c r="AGF2" s="36"/>
      <c r="AGG2" s="36"/>
      <c r="AGH2" s="36"/>
      <c r="AGI2" s="36"/>
      <c r="AGJ2" s="36"/>
      <c r="AGK2" s="36"/>
      <c r="AGL2" s="36"/>
      <c r="AGM2" s="36"/>
      <c r="AGN2" s="36"/>
      <c r="AGO2" s="36"/>
      <c r="AGP2" s="36"/>
      <c r="AGQ2" s="36"/>
      <c r="AGR2" s="36"/>
      <c r="AGS2" s="36"/>
      <c r="AGT2" s="36"/>
      <c r="AGU2" s="36"/>
      <c r="AGV2" s="36"/>
      <c r="AGW2" s="36"/>
      <c r="AGX2" s="36"/>
      <c r="AGY2" s="36"/>
      <c r="AGZ2" s="36"/>
      <c r="AHA2" s="36"/>
      <c r="AHB2" s="36"/>
      <c r="AHC2" s="36"/>
      <c r="AHD2" s="36"/>
      <c r="AHE2" s="36"/>
      <c r="AHF2" s="36"/>
      <c r="AHG2" s="36"/>
      <c r="AHH2" s="36"/>
      <c r="AHI2" s="36"/>
      <c r="AHJ2" s="36"/>
      <c r="AHK2" s="36"/>
      <c r="AHL2" s="36"/>
      <c r="AHM2" s="36"/>
      <c r="AHN2" s="36"/>
      <c r="AHO2" s="36"/>
      <c r="AHP2" s="36"/>
      <c r="AHQ2" s="36"/>
      <c r="AHR2" s="36"/>
      <c r="AHS2" s="36"/>
      <c r="AHT2" s="36"/>
      <c r="AHU2" s="36"/>
      <c r="AHV2" s="36"/>
      <c r="AHW2" s="36"/>
      <c r="AHX2" s="36"/>
      <c r="AHY2" s="36"/>
      <c r="AHZ2" s="36"/>
      <c r="AIA2" s="36"/>
      <c r="AIB2" s="36"/>
      <c r="AIC2" s="36"/>
      <c r="AID2" s="36"/>
      <c r="AIE2" s="36"/>
      <c r="AIF2" s="36"/>
      <c r="AIG2" s="36"/>
      <c r="AIH2" s="36"/>
      <c r="AII2" s="36"/>
      <c r="AIJ2" s="36"/>
      <c r="AIK2" s="36"/>
      <c r="AIL2" s="36"/>
      <c r="AIM2" s="36"/>
      <c r="AIN2" s="36"/>
      <c r="AIO2" s="36"/>
      <c r="AIP2" s="36"/>
      <c r="AIQ2" s="36"/>
      <c r="AIR2" s="36"/>
      <c r="AIS2" s="36"/>
      <c r="AIT2" s="36"/>
      <c r="AIU2" s="36"/>
      <c r="AIV2" s="36"/>
      <c r="AIW2" s="36"/>
      <c r="AIX2" s="36"/>
      <c r="AIY2" s="36"/>
      <c r="AIZ2" s="36"/>
      <c r="AJA2" s="36"/>
      <c r="AJB2" s="36"/>
      <c r="AJC2" s="36"/>
      <c r="AJD2" s="36"/>
      <c r="AJE2" s="36"/>
      <c r="AJF2" s="36"/>
      <c r="AJG2" s="36"/>
      <c r="AJH2" s="36"/>
      <c r="AJI2" s="36"/>
      <c r="AJJ2" s="36"/>
      <c r="AJK2" s="36"/>
      <c r="AJL2" s="36"/>
      <c r="AJM2" s="36"/>
      <c r="AJN2" s="36"/>
      <c r="AJO2" s="36"/>
      <c r="AJP2" s="36"/>
      <c r="AJQ2" s="36"/>
      <c r="AJR2" s="36"/>
      <c r="AJS2" s="36"/>
      <c r="AJT2" s="36"/>
      <c r="AJU2" s="36"/>
      <c r="AJV2" s="36"/>
      <c r="AJW2" s="36"/>
      <c r="AJX2" s="36"/>
      <c r="AJY2" s="36"/>
      <c r="AJZ2" s="36"/>
      <c r="AKA2" s="36"/>
      <c r="AKB2" s="36"/>
      <c r="AKC2" s="36"/>
      <c r="AKD2" s="36"/>
      <c r="AKE2" s="36"/>
      <c r="AKF2" s="36"/>
      <c r="AKG2" s="36"/>
      <c r="AKH2" s="36"/>
      <c r="AKI2" s="36"/>
      <c r="AKJ2" s="36"/>
      <c r="AKK2" s="36"/>
      <c r="AKL2" s="36"/>
      <c r="AKM2" s="36"/>
      <c r="AKN2" s="36"/>
      <c r="AKO2" s="36"/>
      <c r="AKP2" s="36"/>
      <c r="AKQ2" s="36"/>
      <c r="AKR2" s="36"/>
      <c r="AKS2" s="36"/>
      <c r="AKT2" s="36"/>
      <c r="AKU2" s="36"/>
      <c r="AKV2" s="36"/>
      <c r="AKW2" s="36"/>
      <c r="AKX2" s="36"/>
      <c r="AKY2" s="36"/>
      <c r="AKZ2" s="36"/>
      <c r="ALA2" s="36"/>
      <c r="ALB2" s="36"/>
      <c r="ALC2" s="36"/>
      <c r="ALD2" s="36"/>
      <c r="ALE2" s="36"/>
      <c r="ALF2" s="36"/>
      <c r="ALG2" s="36"/>
      <c r="ALH2" s="36"/>
      <c r="ALI2" s="36"/>
      <c r="ALJ2" s="36"/>
      <c r="ALK2" s="36"/>
      <c r="ALL2" s="36"/>
      <c r="ALM2" s="36"/>
      <c r="ALN2" s="36"/>
      <c r="ALO2" s="36"/>
      <c r="ALP2" s="36"/>
      <c r="ALQ2" s="36"/>
      <c r="ALR2" s="36"/>
      <c r="ALS2" s="36"/>
      <c r="ALT2" s="36"/>
      <c r="ALU2" s="36"/>
      <c r="ALV2" s="36"/>
      <c r="ALW2" s="36"/>
      <c r="ALX2" s="36"/>
      <c r="ALY2" s="36"/>
      <c r="ALZ2" s="36"/>
      <c r="AMA2" s="36"/>
      <c r="AMB2" s="36"/>
      <c r="AMC2" s="36"/>
      <c r="AMD2" s="36"/>
      <c r="AME2" s="36"/>
      <c r="AMF2" s="36"/>
      <c r="AMG2" s="36"/>
      <c r="AMH2" s="36"/>
      <c r="AMI2" s="36"/>
      <c r="AMJ2" s="36"/>
      <c r="AMK2" s="36"/>
      <c r="AML2" s="36"/>
      <c r="AMM2" s="36"/>
      <c r="AMN2" s="36"/>
      <c r="AMO2" s="36"/>
      <c r="AMP2" s="36"/>
      <c r="AMQ2" s="36"/>
      <c r="AMR2" s="36"/>
      <c r="AMS2" s="36"/>
    </row>
    <row r="3" spans="1:1033" x14ac:dyDescent="0.2">
      <c r="A3" s="38" t="s">
        <v>277</v>
      </c>
      <c r="B3" s="38" t="s">
        <v>278</v>
      </c>
      <c r="C3" s="39" t="s">
        <v>279</v>
      </c>
      <c r="D3" s="38" t="s">
        <v>277</v>
      </c>
      <c r="F3" s="38" t="s">
        <v>133</v>
      </c>
      <c r="G3" s="38" t="s">
        <v>280</v>
      </c>
      <c r="H3" s="38" t="s">
        <v>281</v>
      </c>
      <c r="J3" s="38">
        <v>12</v>
      </c>
      <c r="K3" s="38" t="s">
        <v>282</v>
      </c>
      <c r="L3" s="40"/>
      <c r="M3" s="40"/>
      <c r="N3" s="40"/>
      <c r="O3" s="40"/>
      <c r="P3" s="40"/>
      <c r="Q3" s="38" t="s">
        <v>283</v>
      </c>
    </row>
    <row r="4" spans="1:1033" ht="38.25" x14ac:dyDescent="0.2">
      <c r="A4" s="38" t="s">
        <v>284</v>
      </c>
      <c r="B4" s="38" t="s">
        <v>278</v>
      </c>
      <c r="C4" s="39" t="s">
        <v>284</v>
      </c>
      <c r="D4" s="39" t="s">
        <v>284</v>
      </c>
      <c r="F4" s="38" t="s">
        <v>133</v>
      </c>
      <c r="G4" s="38" t="s">
        <v>285</v>
      </c>
      <c r="H4" s="38" t="s">
        <v>281</v>
      </c>
      <c r="J4" s="38">
        <v>12</v>
      </c>
      <c r="K4" s="38" t="s">
        <v>282</v>
      </c>
      <c r="L4" s="40"/>
      <c r="M4" s="40"/>
      <c r="N4" s="40"/>
      <c r="O4" s="40"/>
      <c r="P4" s="40"/>
      <c r="Q4" s="38" t="s">
        <v>286</v>
      </c>
    </row>
    <row r="5" spans="1:1033" x14ac:dyDescent="0.2">
      <c r="A5" s="39" t="s">
        <v>279</v>
      </c>
      <c r="B5" s="39" t="s">
        <v>278</v>
      </c>
      <c r="C5" s="39" t="s">
        <v>279</v>
      </c>
      <c r="D5" s="39" t="s">
        <v>279</v>
      </c>
      <c r="E5" s="39" t="s">
        <v>287</v>
      </c>
      <c r="F5" s="38" t="s">
        <v>133</v>
      </c>
      <c r="G5" s="38" t="s">
        <v>280</v>
      </c>
      <c r="H5" s="39" t="s">
        <v>281</v>
      </c>
      <c r="I5" s="39"/>
      <c r="J5" s="38">
        <v>12</v>
      </c>
      <c r="K5" s="39" t="s">
        <v>282</v>
      </c>
      <c r="L5" s="39"/>
      <c r="M5" s="39"/>
      <c r="N5" s="39"/>
      <c r="O5" s="39"/>
      <c r="P5" s="39"/>
      <c r="Q5" s="39" t="s">
        <v>288</v>
      </c>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c r="DA5" s="39"/>
      <c r="DB5" s="39"/>
      <c r="DC5" s="39"/>
      <c r="DD5" s="39"/>
      <c r="DE5" s="39"/>
      <c r="DF5" s="39"/>
      <c r="DG5" s="39"/>
      <c r="DH5" s="39"/>
      <c r="DI5" s="39"/>
      <c r="DJ5" s="39"/>
      <c r="DK5" s="39"/>
      <c r="DL5" s="39"/>
      <c r="DM5" s="39"/>
      <c r="DN5" s="39"/>
      <c r="DO5" s="39"/>
      <c r="DP5" s="39"/>
      <c r="DQ5" s="39"/>
      <c r="DR5" s="39"/>
      <c r="DS5" s="39"/>
      <c r="DT5" s="39"/>
      <c r="DU5" s="39"/>
      <c r="DV5" s="39"/>
      <c r="DW5" s="39"/>
      <c r="DX5" s="39"/>
      <c r="DY5" s="39"/>
      <c r="DZ5" s="39"/>
      <c r="EA5" s="39"/>
      <c r="EB5" s="39"/>
      <c r="EC5" s="39"/>
      <c r="ED5" s="39"/>
      <c r="EE5" s="39"/>
      <c r="EF5" s="39"/>
      <c r="EG5" s="39"/>
      <c r="EH5" s="39"/>
      <c r="EI5" s="39"/>
      <c r="EJ5" s="39"/>
      <c r="EK5" s="39"/>
      <c r="EL5" s="39"/>
      <c r="EM5" s="39"/>
      <c r="EN5" s="39"/>
      <c r="EO5" s="39"/>
      <c r="EP5" s="39"/>
      <c r="EQ5" s="39"/>
      <c r="ER5" s="39"/>
      <c r="ES5" s="39"/>
      <c r="ET5" s="39"/>
      <c r="EU5" s="39"/>
      <c r="EV5" s="39"/>
      <c r="EW5" s="39"/>
      <c r="EX5" s="39"/>
      <c r="EY5" s="39"/>
      <c r="EZ5" s="39"/>
      <c r="FA5" s="39"/>
      <c r="FB5" s="39"/>
      <c r="FC5" s="39"/>
      <c r="FD5" s="39"/>
      <c r="FE5" s="39"/>
      <c r="FF5" s="39"/>
      <c r="FG5" s="39"/>
      <c r="FH5" s="39"/>
      <c r="FI5" s="39"/>
      <c r="FJ5" s="39"/>
      <c r="FK5" s="39"/>
      <c r="FL5" s="39"/>
      <c r="FM5" s="39"/>
      <c r="FN5" s="39"/>
      <c r="FO5" s="39"/>
      <c r="FP5" s="39"/>
      <c r="FQ5" s="39"/>
      <c r="FR5" s="39"/>
      <c r="FS5" s="39"/>
      <c r="FT5" s="39"/>
      <c r="FU5" s="39"/>
      <c r="FV5" s="39"/>
      <c r="FW5" s="39"/>
      <c r="FX5" s="39"/>
      <c r="FY5" s="39"/>
      <c r="FZ5" s="39"/>
      <c r="GA5" s="39"/>
      <c r="GB5" s="39"/>
      <c r="GC5" s="39"/>
      <c r="GD5" s="39"/>
      <c r="GE5" s="39"/>
      <c r="GF5" s="39"/>
      <c r="GG5" s="39"/>
      <c r="GH5" s="39"/>
      <c r="GI5" s="39"/>
      <c r="GJ5" s="39"/>
      <c r="GK5" s="39"/>
      <c r="GL5" s="39"/>
      <c r="GM5" s="39"/>
      <c r="GN5" s="39"/>
      <c r="GO5" s="39"/>
      <c r="GP5" s="39"/>
      <c r="GQ5" s="39"/>
      <c r="GR5" s="39"/>
      <c r="GS5" s="39"/>
      <c r="GT5" s="39"/>
      <c r="GU5" s="39"/>
      <c r="GV5" s="39"/>
      <c r="GW5" s="39"/>
      <c r="GX5" s="39"/>
      <c r="GY5" s="39"/>
      <c r="GZ5" s="39"/>
      <c r="HA5" s="39"/>
      <c r="HB5" s="39"/>
      <c r="HC5" s="39"/>
      <c r="HD5" s="39"/>
      <c r="HE5" s="39"/>
      <c r="HF5" s="39"/>
      <c r="HG5" s="39"/>
      <c r="HH5" s="39"/>
      <c r="HI5" s="39"/>
      <c r="HJ5" s="39"/>
      <c r="HK5" s="39"/>
      <c r="HL5" s="39"/>
      <c r="HM5" s="39"/>
      <c r="HN5" s="39"/>
      <c r="HO5" s="39"/>
      <c r="HP5" s="39"/>
      <c r="HQ5" s="39"/>
      <c r="HR5" s="39"/>
      <c r="HS5" s="39"/>
      <c r="HT5" s="39"/>
      <c r="HU5" s="39"/>
      <c r="HV5" s="39"/>
      <c r="HW5" s="39"/>
      <c r="HX5" s="39"/>
      <c r="HY5" s="39"/>
      <c r="HZ5" s="39"/>
      <c r="IA5" s="39"/>
      <c r="IB5" s="39"/>
      <c r="IC5" s="39"/>
      <c r="ID5" s="39"/>
      <c r="IE5" s="39"/>
      <c r="IF5" s="39"/>
      <c r="IG5" s="39"/>
      <c r="IH5" s="39"/>
      <c r="II5" s="39"/>
      <c r="IJ5" s="39"/>
      <c r="IK5" s="39"/>
      <c r="IL5" s="39"/>
      <c r="IM5" s="39"/>
      <c r="IN5" s="39"/>
      <c r="IO5" s="39"/>
      <c r="IP5" s="39"/>
      <c r="IQ5" s="39"/>
      <c r="IR5" s="39"/>
      <c r="IS5" s="39"/>
      <c r="IT5" s="39"/>
      <c r="IU5" s="39"/>
      <c r="IV5" s="39"/>
      <c r="IW5" s="39"/>
      <c r="IX5" s="39"/>
      <c r="IY5" s="39"/>
      <c r="IZ5" s="39"/>
      <c r="JA5" s="39"/>
      <c r="JB5" s="39"/>
      <c r="JC5" s="39"/>
      <c r="JD5" s="39"/>
      <c r="JE5" s="39"/>
      <c r="JF5" s="39"/>
      <c r="JG5" s="39"/>
      <c r="JH5" s="39"/>
      <c r="JI5" s="39"/>
      <c r="JJ5" s="39"/>
      <c r="JK5" s="39"/>
      <c r="JL5" s="39"/>
      <c r="JM5" s="39"/>
      <c r="JN5" s="39"/>
      <c r="JO5" s="39"/>
      <c r="JP5" s="39"/>
      <c r="JQ5" s="39"/>
      <c r="JR5" s="39"/>
      <c r="JS5" s="39"/>
      <c r="JT5" s="39"/>
      <c r="JU5" s="39"/>
      <c r="JV5" s="39"/>
      <c r="JW5" s="39"/>
      <c r="JX5" s="39"/>
      <c r="JY5" s="39"/>
      <c r="JZ5" s="39"/>
      <c r="KA5" s="39"/>
      <c r="KB5" s="39"/>
      <c r="KC5" s="39"/>
      <c r="KD5" s="39"/>
      <c r="KE5" s="39"/>
      <c r="KF5" s="39"/>
      <c r="KG5" s="39"/>
      <c r="KH5" s="39"/>
      <c r="KI5" s="39"/>
      <c r="KJ5" s="39"/>
      <c r="KK5" s="39"/>
      <c r="KL5" s="39"/>
      <c r="KM5" s="39"/>
      <c r="KN5" s="39"/>
      <c r="KO5" s="39"/>
      <c r="KP5" s="39"/>
      <c r="KQ5" s="39"/>
      <c r="KR5" s="39"/>
      <c r="KS5" s="39"/>
      <c r="KT5" s="39"/>
      <c r="KU5" s="39"/>
      <c r="KV5" s="39"/>
      <c r="KW5" s="39"/>
      <c r="KX5" s="39"/>
      <c r="KY5" s="39"/>
      <c r="KZ5" s="39"/>
      <c r="LA5" s="39"/>
      <c r="LB5" s="39"/>
      <c r="LC5" s="39"/>
      <c r="LD5" s="39"/>
      <c r="LE5" s="39"/>
      <c r="LF5" s="39"/>
      <c r="LG5" s="39"/>
      <c r="LH5" s="39"/>
      <c r="LI5" s="39"/>
      <c r="LJ5" s="39"/>
      <c r="LK5" s="39"/>
      <c r="LL5" s="39"/>
      <c r="LM5" s="39"/>
      <c r="LN5" s="39"/>
      <c r="LO5" s="39"/>
      <c r="LP5" s="39"/>
      <c r="LQ5" s="39"/>
      <c r="LR5" s="39"/>
      <c r="LS5" s="39"/>
      <c r="LT5" s="39"/>
      <c r="LU5" s="39"/>
      <c r="LV5" s="39"/>
      <c r="LW5" s="39"/>
      <c r="LX5" s="39"/>
      <c r="LY5" s="39"/>
      <c r="LZ5" s="39"/>
      <c r="MA5" s="39"/>
      <c r="MB5" s="39"/>
      <c r="MC5" s="39"/>
      <c r="MD5" s="39"/>
      <c r="ME5" s="39"/>
      <c r="MF5" s="39"/>
      <c r="MG5" s="39"/>
      <c r="MH5" s="39"/>
      <c r="MI5" s="39"/>
      <c r="MJ5" s="39"/>
      <c r="MK5" s="39"/>
      <c r="ML5" s="39"/>
      <c r="MM5" s="39"/>
      <c r="MN5" s="39"/>
      <c r="MO5" s="39"/>
      <c r="MP5" s="39"/>
      <c r="MQ5" s="39"/>
      <c r="MR5" s="39"/>
      <c r="MS5" s="39"/>
      <c r="MT5" s="39"/>
      <c r="MU5" s="39"/>
      <c r="MV5" s="39"/>
      <c r="MW5" s="39"/>
      <c r="MX5" s="39"/>
      <c r="MY5" s="39"/>
      <c r="MZ5" s="39"/>
      <c r="NA5" s="39"/>
      <c r="NB5" s="39"/>
      <c r="NC5" s="39"/>
      <c r="ND5" s="39"/>
      <c r="NE5" s="39"/>
      <c r="NF5" s="39"/>
      <c r="NG5" s="39"/>
      <c r="NH5" s="39"/>
      <c r="NI5" s="39"/>
      <c r="NJ5" s="39"/>
      <c r="NK5" s="39"/>
      <c r="NL5" s="39"/>
      <c r="NM5" s="39"/>
      <c r="NN5" s="39"/>
      <c r="NO5" s="39"/>
      <c r="NP5" s="39"/>
      <c r="NQ5" s="39"/>
      <c r="NR5" s="39"/>
      <c r="NS5" s="39"/>
      <c r="NT5" s="39"/>
      <c r="NU5" s="39"/>
      <c r="NV5" s="39"/>
      <c r="NW5" s="39"/>
      <c r="NX5" s="39"/>
      <c r="NY5" s="39"/>
      <c r="NZ5" s="39"/>
      <c r="OA5" s="39"/>
      <c r="OB5" s="39"/>
      <c r="OC5" s="39"/>
      <c r="OD5" s="39"/>
      <c r="OE5" s="39"/>
      <c r="OF5" s="39"/>
      <c r="OG5" s="39"/>
      <c r="OH5" s="39"/>
      <c r="OI5" s="39"/>
      <c r="OJ5" s="39"/>
      <c r="OK5" s="39"/>
      <c r="OL5" s="39"/>
      <c r="OM5" s="39"/>
      <c r="ON5" s="39"/>
      <c r="OO5" s="39"/>
      <c r="OP5" s="39"/>
      <c r="OQ5" s="39"/>
      <c r="OR5" s="39"/>
      <c r="OS5" s="39"/>
      <c r="OT5" s="39"/>
      <c r="OU5" s="39"/>
      <c r="OV5" s="39"/>
      <c r="OW5" s="39"/>
      <c r="OX5" s="39"/>
      <c r="OY5" s="39"/>
      <c r="OZ5" s="39"/>
      <c r="PA5" s="39"/>
      <c r="PB5" s="39"/>
      <c r="PC5" s="39"/>
      <c r="PD5" s="39"/>
      <c r="PE5" s="39"/>
      <c r="PF5" s="39"/>
      <c r="PG5" s="39"/>
      <c r="PH5" s="39"/>
      <c r="PI5" s="39"/>
      <c r="PJ5" s="39"/>
      <c r="PK5" s="39"/>
      <c r="PL5" s="39"/>
      <c r="PM5" s="39"/>
      <c r="PN5" s="39"/>
      <c r="PO5" s="39"/>
      <c r="PP5" s="39"/>
      <c r="PQ5" s="39"/>
      <c r="PR5" s="39"/>
      <c r="PS5" s="39"/>
      <c r="PT5" s="39"/>
      <c r="PU5" s="39"/>
      <c r="PV5" s="39"/>
      <c r="PW5" s="39"/>
      <c r="PX5" s="39"/>
      <c r="PY5" s="39"/>
      <c r="PZ5" s="39"/>
      <c r="QA5" s="39"/>
      <c r="QB5" s="39"/>
      <c r="QC5" s="39"/>
      <c r="QD5" s="39"/>
      <c r="QE5" s="39"/>
      <c r="QF5" s="39"/>
      <c r="QG5" s="39"/>
      <c r="QH5" s="39"/>
      <c r="QI5" s="39"/>
      <c r="QJ5" s="39"/>
      <c r="QK5" s="39"/>
      <c r="QL5" s="39"/>
      <c r="QM5" s="39"/>
      <c r="QN5" s="39"/>
      <c r="QO5" s="39"/>
      <c r="QP5" s="39"/>
      <c r="QQ5" s="39"/>
      <c r="QR5" s="39"/>
      <c r="QS5" s="39"/>
      <c r="QT5" s="39"/>
      <c r="QU5" s="39"/>
      <c r="QV5" s="39"/>
      <c r="QW5" s="39"/>
      <c r="QX5" s="39"/>
      <c r="QY5" s="39"/>
      <c r="QZ5" s="39"/>
      <c r="RA5" s="39"/>
      <c r="RB5" s="39"/>
      <c r="RC5" s="39"/>
      <c r="RD5" s="39"/>
      <c r="RE5" s="39"/>
      <c r="RF5" s="39"/>
      <c r="RG5" s="39"/>
      <c r="RH5" s="39"/>
      <c r="RI5" s="39"/>
      <c r="RJ5" s="39"/>
      <c r="RK5" s="39"/>
      <c r="RL5" s="39"/>
      <c r="RM5" s="39"/>
      <c r="RN5" s="39"/>
      <c r="RO5" s="39"/>
      <c r="RP5" s="39"/>
      <c r="RQ5" s="39"/>
      <c r="RR5" s="39"/>
      <c r="RS5" s="39"/>
      <c r="RT5" s="39"/>
      <c r="RU5" s="39"/>
      <c r="RV5" s="39"/>
      <c r="RW5" s="39"/>
      <c r="RX5" s="39"/>
      <c r="RY5" s="39"/>
      <c r="RZ5" s="39"/>
      <c r="SA5" s="39"/>
      <c r="SB5" s="39"/>
      <c r="SC5" s="39"/>
      <c r="SD5" s="39"/>
      <c r="SE5" s="39"/>
      <c r="SF5" s="39"/>
      <c r="SG5" s="39"/>
      <c r="SH5" s="39"/>
      <c r="SI5" s="39"/>
      <c r="SJ5" s="39"/>
      <c r="SK5" s="39"/>
      <c r="SL5" s="39"/>
      <c r="SM5" s="39"/>
      <c r="SN5" s="39"/>
      <c r="SO5" s="39"/>
      <c r="SP5" s="39"/>
      <c r="SQ5" s="39"/>
      <c r="SR5" s="39"/>
      <c r="SS5" s="39"/>
      <c r="ST5" s="39"/>
      <c r="SU5" s="39"/>
      <c r="SV5" s="39"/>
      <c r="SW5" s="39"/>
      <c r="SX5" s="39"/>
      <c r="SY5" s="39"/>
      <c r="SZ5" s="39"/>
      <c r="TA5" s="39"/>
      <c r="TB5" s="39"/>
      <c r="TC5" s="39"/>
      <c r="TD5" s="39"/>
      <c r="TE5" s="39"/>
      <c r="TF5" s="39"/>
      <c r="TG5" s="39"/>
      <c r="TH5" s="39"/>
      <c r="TI5" s="39"/>
      <c r="TJ5" s="39"/>
      <c r="TK5" s="39"/>
      <c r="TL5" s="39"/>
      <c r="TM5" s="39"/>
      <c r="TN5" s="39"/>
      <c r="TO5" s="39"/>
      <c r="TP5" s="39"/>
      <c r="TQ5" s="39"/>
      <c r="TR5" s="39"/>
      <c r="TS5" s="39"/>
      <c r="TT5" s="39"/>
      <c r="TU5" s="39"/>
      <c r="TV5" s="39"/>
      <c r="TW5" s="39"/>
      <c r="TX5" s="39"/>
      <c r="TY5" s="39"/>
      <c r="TZ5" s="39"/>
      <c r="UA5" s="39"/>
      <c r="UB5" s="39"/>
      <c r="UC5" s="39"/>
      <c r="UD5" s="39"/>
      <c r="UE5" s="39"/>
      <c r="UF5" s="39"/>
      <c r="UG5" s="39"/>
      <c r="UH5" s="39"/>
      <c r="UI5" s="39"/>
      <c r="UJ5" s="39"/>
      <c r="UK5" s="39"/>
      <c r="UL5" s="39"/>
      <c r="UM5" s="39"/>
      <c r="UN5" s="39"/>
      <c r="UO5" s="39"/>
      <c r="UP5" s="39"/>
      <c r="UQ5" s="39"/>
      <c r="UR5" s="39"/>
      <c r="US5" s="39"/>
      <c r="UT5" s="39"/>
      <c r="UU5" s="39"/>
      <c r="UV5" s="39"/>
      <c r="UW5" s="39"/>
      <c r="UX5" s="39"/>
      <c r="UY5" s="39"/>
      <c r="UZ5" s="39"/>
      <c r="VA5" s="39"/>
      <c r="VB5" s="39"/>
      <c r="VC5" s="39"/>
      <c r="VD5" s="39"/>
      <c r="VE5" s="39"/>
      <c r="VF5" s="39"/>
      <c r="VG5" s="39"/>
      <c r="VH5" s="39"/>
      <c r="VI5" s="39"/>
      <c r="VJ5" s="39"/>
      <c r="VK5" s="39"/>
      <c r="VL5" s="39"/>
      <c r="VM5" s="39"/>
      <c r="VN5" s="39"/>
      <c r="VO5" s="39"/>
      <c r="VP5" s="39"/>
      <c r="VQ5" s="39"/>
      <c r="VR5" s="39"/>
      <c r="VS5" s="39"/>
      <c r="VT5" s="39"/>
      <c r="VU5" s="39"/>
      <c r="VV5" s="39"/>
      <c r="VW5" s="39"/>
      <c r="VX5" s="39"/>
      <c r="VY5" s="39"/>
      <c r="VZ5" s="39"/>
      <c r="WA5" s="39"/>
      <c r="WB5" s="39"/>
      <c r="WC5" s="39"/>
      <c r="WD5" s="39"/>
      <c r="WE5" s="39"/>
      <c r="WF5" s="39"/>
      <c r="WG5" s="39"/>
      <c r="WH5" s="39"/>
      <c r="WI5" s="39"/>
      <c r="WJ5" s="39"/>
      <c r="WK5" s="39"/>
      <c r="WL5" s="39"/>
      <c r="WM5" s="39"/>
      <c r="WN5" s="39"/>
      <c r="WO5" s="39"/>
      <c r="WP5" s="39"/>
      <c r="WQ5" s="39"/>
      <c r="WR5" s="39"/>
      <c r="WS5" s="39"/>
      <c r="WT5" s="39"/>
      <c r="WU5" s="39"/>
      <c r="WV5" s="39"/>
      <c r="WW5" s="39"/>
      <c r="WX5" s="39"/>
      <c r="WY5" s="39"/>
      <c r="WZ5" s="39"/>
      <c r="XA5" s="39"/>
      <c r="XB5" s="39"/>
      <c r="XC5" s="39"/>
      <c r="XD5" s="39"/>
      <c r="XE5" s="39"/>
      <c r="XF5" s="39"/>
      <c r="XG5" s="39"/>
      <c r="XH5" s="39"/>
      <c r="XI5" s="39"/>
      <c r="XJ5" s="39"/>
      <c r="XK5" s="39"/>
      <c r="XL5" s="39"/>
      <c r="XM5" s="39"/>
      <c r="XN5" s="39"/>
      <c r="XO5" s="39"/>
      <c r="XP5" s="39"/>
      <c r="XQ5" s="39"/>
      <c r="XR5" s="39"/>
      <c r="XS5" s="39"/>
      <c r="XT5" s="39"/>
      <c r="XU5" s="39"/>
      <c r="XV5" s="39"/>
      <c r="XW5" s="39"/>
      <c r="XX5" s="39"/>
      <c r="XY5" s="39"/>
      <c r="XZ5" s="39"/>
      <c r="YA5" s="39"/>
      <c r="YB5" s="39"/>
      <c r="YC5" s="39"/>
      <c r="YD5" s="39"/>
      <c r="YE5" s="39"/>
      <c r="YF5" s="39"/>
      <c r="YG5" s="39"/>
      <c r="YH5" s="39"/>
      <c r="YI5" s="39"/>
      <c r="YJ5" s="39"/>
      <c r="YK5" s="39"/>
      <c r="YL5" s="39"/>
      <c r="YM5" s="39"/>
      <c r="YN5" s="39"/>
      <c r="YO5" s="39"/>
      <c r="YP5" s="39"/>
      <c r="YQ5" s="39"/>
      <c r="YR5" s="39"/>
      <c r="YS5" s="39"/>
      <c r="YT5" s="39"/>
      <c r="YU5" s="39"/>
      <c r="YV5" s="39"/>
      <c r="YW5" s="39"/>
      <c r="YX5" s="39"/>
      <c r="YY5" s="39"/>
      <c r="YZ5" s="39"/>
      <c r="ZA5" s="39"/>
      <c r="ZB5" s="39"/>
      <c r="ZC5" s="39"/>
      <c r="ZD5" s="39"/>
      <c r="ZE5" s="39"/>
      <c r="ZF5" s="39"/>
      <c r="ZG5" s="39"/>
      <c r="ZH5" s="39"/>
      <c r="ZI5" s="39"/>
      <c r="ZJ5" s="39"/>
      <c r="ZK5" s="39"/>
      <c r="ZL5" s="39"/>
      <c r="ZM5" s="39"/>
      <c r="ZN5" s="39"/>
      <c r="ZO5" s="39"/>
      <c r="ZP5" s="39"/>
      <c r="ZQ5" s="39"/>
      <c r="ZR5" s="39"/>
      <c r="ZS5" s="39"/>
      <c r="ZT5" s="39"/>
      <c r="ZU5" s="39"/>
      <c r="ZV5" s="39"/>
      <c r="ZW5" s="39"/>
      <c r="ZX5" s="39"/>
      <c r="ZY5" s="39"/>
      <c r="ZZ5" s="39"/>
      <c r="AAA5" s="39"/>
      <c r="AAB5" s="39"/>
      <c r="AAC5" s="39"/>
      <c r="AAD5" s="39"/>
      <c r="AAE5" s="39"/>
      <c r="AAF5" s="39"/>
      <c r="AAG5" s="39"/>
      <c r="AAH5" s="39"/>
      <c r="AAI5" s="39"/>
      <c r="AAJ5" s="39"/>
      <c r="AAK5" s="39"/>
      <c r="AAL5" s="39"/>
      <c r="AAM5" s="39"/>
      <c r="AAN5" s="39"/>
      <c r="AAO5" s="39"/>
      <c r="AAP5" s="39"/>
      <c r="AAQ5" s="39"/>
      <c r="AAR5" s="39"/>
      <c r="AAS5" s="39"/>
      <c r="AAT5" s="39"/>
      <c r="AAU5" s="39"/>
      <c r="AAV5" s="39"/>
      <c r="AAW5" s="39"/>
      <c r="AAX5" s="39"/>
      <c r="AAY5" s="39"/>
      <c r="AAZ5" s="39"/>
      <c r="ABA5" s="39"/>
      <c r="ABB5" s="39"/>
      <c r="ABC5" s="39"/>
      <c r="ABD5" s="39"/>
      <c r="ABE5" s="39"/>
      <c r="ABF5" s="39"/>
      <c r="ABG5" s="39"/>
      <c r="ABH5" s="39"/>
      <c r="ABI5" s="39"/>
      <c r="ABJ5" s="39"/>
      <c r="ABK5" s="39"/>
      <c r="ABL5" s="39"/>
      <c r="ABM5" s="39"/>
      <c r="ABN5" s="39"/>
      <c r="ABO5" s="39"/>
      <c r="ABP5" s="39"/>
      <c r="ABQ5" s="39"/>
      <c r="ABR5" s="39"/>
      <c r="ABS5" s="39"/>
      <c r="ABT5" s="39"/>
      <c r="ABU5" s="39"/>
      <c r="ABV5" s="39"/>
      <c r="ABW5" s="39"/>
      <c r="ABX5" s="39"/>
      <c r="ABY5" s="39"/>
      <c r="ABZ5" s="39"/>
      <c r="ACA5" s="39"/>
      <c r="ACB5" s="39"/>
      <c r="ACC5" s="39"/>
      <c r="ACD5" s="39"/>
      <c r="ACE5" s="39"/>
      <c r="ACF5" s="39"/>
      <c r="ACG5" s="39"/>
      <c r="ACH5" s="39"/>
      <c r="ACI5" s="39"/>
      <c r="ACJ5" s="39"/>
      <c r="ACK5" s="39"/>
      <c r="ACL5" s="39"/>
      <c r="ACM5" s="39"/>
      <c r="ACN5" s="39"/>
      <c r="ACO5" s="39"/>
      <c r="ACP5" s="39"/>
      <c r="ACQ5" s="39"/>
      <c r="ACR5" s="39"/>
      <c r="ACS5" s="39"/>
      <c r="ACT5" s="39"/>
      <c r="ACU5" s="39"/>
      <c r="ACV5" s="39"/>
      <c r="ACW5" s="39"/>
      <c r="ACX5" s="39"/>
      <c r="ACY5" s="39"/>
      <c r="ACZ5" s="39"/>
      <c r="ADA5" s="39"/>
      <c r="ADB5" s="39"/>
      <c r="ADC5" s="39"/>
      <c r="ADD5" s="39"/>
      <c r="ADE5" s="39"/>
      <c r="ADF5" s="39"/>
      <c r="ADG5" s="39"/>
      <c r="ADH5" s="39"/>
      <c r="ADI5" s="39"/>
      <c r="ADJ5" s="39"/>
      <c r="ADK5" s="39"/>
      <c r="ADL5" s="39"/>
      <c r="ADM5" s="39"/>
      <c r="ADN5" s="39"/>
      <c r="ADO5" s="39"/>
      <c r="ADP5" s="39"/>
      <c r="ADQ5" s="39"/>
      <c r="ADR5" s="39"/>
      <c r="ADS5" s="39"/>
      <c r="ADT5" s="39"/>
      <c r="ADU5" s="39"/>
      <c r="ADV5" s="39"/>
      <c r="ADW5" s="39"/>
      <c r="ADX5" s="39"/>
      <c r="ADY5" s="39"/>
      <c r="ADZ5" s="39"/>
      <c r="AEA5" s="39"/>
      <c r="AEB5" s="39"/>
      <c r="AEC5" s="39"/>
      <c r="AED5" s="39"/>
      <c r="AEE5" s="39"/>
      <c r="AEF5" s="39"/>
      <c r="AEG5" s="39"/>
      <c r="AEH5" s="39"/>
      <c r="AEI5" s="39"/>
      <c r="AEJ5" s="39"/>
      <c r="AEK5" s="39"/>
      <c r="AEL5" s="39"/>
      <c r="AEM5" s="39"/>
      <c r="AEN5" s="39"/>
      <c r="AEO5" s="39"/>
      <c r="AEP5" s="39"/>
      <c r="AEQ5" s="39"/>
      <c r="AER5" s="39"/>
      <c r="AES5" s="39"/>
      <c r="AET5" s="39"/>
      <c r="AEU5" s="39"/>
      <c r="AEV5" s="39"/>
      <c r="AEW5" s="39"/>
      <c r="AEX5" s="39"/>
      <c r="AEY5" s="39"/>
      <c r="AEZ5" s="39"/>
      <c r="AFA5" s="39"/>
      <c r="AFB5" s="39"/>
      <c r="AFC5" s="39"/>
      <c r="AFD5" s="39"/>
      <c r="AFE5" s="39"/>
      <c r="AFF5" s="39"/>
      <c r="AFG5" s="39"/>
      <c r="AFH5" s="39"/>
      <c r="AFI5" s="39"/>
      <c r="AFJ5" s="39"/>
      <c r="AFK5" s="39"/>
      <c r="AFL5" s="39"/>
      <c r="AFM5" s="39"/>
      <c r="AFN5" s="39"/>
      <c r="AFO5" s="39"/>
      <c r="AFP5" s="39"/>
      <c r="AFQ5" s="39"/>
      <c r="AFR5" s="39"/>
      <c r="AFS5" s="39"/>
      <c r="AFT5" s="39"/>
      <c r="AFU5" s="39"/>
      <c r="AFV5" s="39"/>
      <c r="AFW5" s="39"/>
      <c r="AFX5" s="39"/>
      <c r="AFY5" s="39"/>
      <c r="AFZ5" s="39"/>
      <c r="AGA5" s="39"/>
      <c r="AGB5" s="39"/>
      <c r="AGC5" s="39"/>
      <c r="AGD5" s="39"/>
      <c r="AGE5" s="39"/>
      <c r="AGF5" s="39"/>
      <c r="AGG5" s="39"/>
      <c r="AGH5" s="39"/>
      <c r="AGI5" s="39"/>
      <c r="AGJ5" s="39"/>
      <c r="AGK5" s="39"/>
      <c r="AGL5" s="39"/>
      <c r="AGM5" s="39"/>
      <c r="AGN5" s="39"/>
      <c r="AGO5" s="39"/>
      <c r="AGP5" s="39"/>
      <c r="AGQ5" s="39"/>
      <c r="AGR5" s="39"/>
      <c r="AGS5" s="39"/>
      <c r="AGT5" s="39"/>
      <c r="AGU5" s="39"/>
      <c r="AGV5" s="39"/>
      <c r="AGW5" s="39"/>
      <c r="AGX5" s="39"/>
      <c r="AGY5" s="39"/>
      <c r="AGZ5" s="39"/>
      <c r="AHA5" s="39"/>
      <c r="AHB5" s="39"/>
      <c r="AHC5" s="39"/>
      <c r="AHD5" s="39"/>
      <c r="AHE5" s="39"/>
      <c r="AHF5" s="39"/>
      <c r="AHG5" s="39"/>
      <c r="AHH5" s="39"/>
      <c r="AHI5" s="39"/>
      <c r="AHJ5" s="39"/>
      <c r="AHK5" s="39"/>
      <c r="AHL5" s="39"/>
      <c r="AHM5" s="39"/>
      <c r="AHN5" s="39"/>
      <c r="AHO5" s="39"/>
      <c r="AHP5" s="39"/>
      <c r="AHQ5" s="39"/>
      <c r="AHR5" s="39"/>
      <c r="AHS5" s="39"/>
      <c r="AHT5" s="39"/>
      <c r="AHU5" s="39"/>
      <c r="AHV5" s="39"/>
      <c r="AHW5" s="39"/>
      <c r="AHX5" s="39"/>
      <c r="AHY5" s="39"/>
      <c r="AHZ5" s="39"/>
      <c r="AIA5" s="39"/>
      <c r="AIB5" s="39"/>
      <c r="AIC5" s="39"/>
      <c r="AID5" s="39"/>
      <c r="AIE5" s="39"/>
      <c r="AIF5" s="39"/>
      <c r="AIG5" s="39"/>
      <c r="AIH5" s="39"/>
      <c r="AII5" s="39"/>
      <c r="AIJ5" s="39"/>
      <c r="AIK5" s="39"/>
      <c r="AIL5" s="39"/>
      <c r="AIM5" s="39"/>
      <c r="AIN5" s="39"/>
      <c r="AIO5" s="39"/>
      <c r="AIP5" s="39"/>
      <c r="AIQ5" s="39"/>
      <c r="AIR5" s="39"/>
      <c r="AIS5" s="39"/>
      <c r="AIT5" s="39"/>
      <c r="AIU5" s="39"/>
      <c r="AIV5" s="39"/>
      <c r="AIW5" s="39"/>
      <c r="AIX5" s="39"/>
      <c r="AIY5" s="39"/>
      <c r="AIZ5" s="39"/>
      <c r="AJA5" s="39"/>
      <c r="AJB5" s="39"/>
      <c r="AJC5" s="39"/>
      <c r="AJD5" s="39"/>
      <c r="AJE5" s="39"/>
      <c r="AJF5" s="39"/>
      <c r="AJG5" s="39"/>
      <c r="AJH5" s="39"/>
      <c r="AJI5" s="39"/>
      <c r="AJJ5" s="39"/>
      <c r="AJK5" s="39"/>
      <c r="AJL5" s="39"/>
      <c r="AJM5" s="39"/>
      <c r="AJN5" s="39"/>
      <c r="AJO5" s="39"/>
      <c r="AJP5" s="39"/>
      <c r="AJQ5" s="39"/>
      <c r="AJR5" s="39"/>
      <c r="AJS5" s="39"/>
      <c r="AJT5" s="39"/>
      <c r="AJU5" s="39"/>
      <c r="AJV5" s="39"/>
      <c r="AJW5" s="39"/>
      <c r="AJX5" s="39"/>
      <c r="AJY5" s="39"/>
      <c r="AJZ5" s="39"/>
      <c r="AKA5" s="39"/>
      <c r="AKB5" s="39"/>
      <c r="AKC5" s="39"/>
      <c r="AKD5" s="39"/>
      <c r="AKE5" s="39"/>
      <c r="AKF5" s="39"/>
      <c r="AKG5" s="39"/>
      <c r="AKH5" s="39"/>
      <c r="AKI5" s="39"/>
      <c r="AKJ5" s="39"/>
      <c r="AKK5" s="39"/>
      <c r="AKL5" s="39"/>
      <c r="AKM5" s="39"/>
      <c r="AKN5" s="39"/>
      <c r="AKO5" s="39"/>
      <c r="AKP5" s="39"/>
      <c r="AKQ5" s="39"/>
      <c r="AKR5" s="39"/>
      <c r="AKS5" s="39"/>
      <c r="AKT5" s="39"/>
      <c r="AKU5" s="39"/>
      <c r="AKV5" s="39"/>
      <c r="AKW5" s="39"/>
      <c r="AKX5" s="39"/>
      <c r="AKY5" s="39"/>
      <c r="AKZ5" s="39"/>
      <c r="ALA5" s="39"/>
      <c r="ALB5" s="39"/>
      <c r="ALC5" s="39"/>
      <c r="ALD5" s="39"/>
      <c r="ALE5" s="39"/>
      <c r="ALF5" s="39"/>
      <c r="ALG5" s="39"/>
      <c r="ALH5" s="39"/>
      <c r="ALI5" s="39"/>
      <c r="ALJ5" s="39"/>
      <c r="ALK5" s="39"/>
      <c r="ALL5" s="39"/>
      <c r="ALM5" s="39"/>
      <c r="ALN5" s="39"/>
      <c r="ALO5" s="39"/>
      <c r="ALP5" s="39"/>
      <c r="ALQ5" s="39"/>
      <c r="ALR5" s="39"/>
      <c r="ALS5" s="39"/>
      <c r="ALT5" s="39"/>
      <c r="ALU5" s="39"/>
      <c r="ALV5" s="39"/>
      <c r="ALW5" s="39"/>
      <c r="ALX5" s="39"/>
      <c r="ALY5" s="39"/>
      <c r="ALZ5" s="39"/>
      <c r="AMA5" s="39"/>
      <c r="AMB5" s="39"/>
      <c r="AMC5" s="39"/>
      <c r="AMD5" s="39"/>
      <c r="AME5" s="39"/>
      <c r="AMF5" s="39"/>
      <c r="AMG5" s="39"/>
      <c r="AMH5" s="39"/>
      <c r="AMI5" s="39"/>
      <c r="AMJ5" s="39"/>
      <c r="AMK5" s="39"/>
      <c r="AML5" s="39"/>
      <c r="AMM5" s="39"/>
      <c r="AMN5" s="39"/>
      <c r="AMO5" s="39"/>
      <c r="AMP5" s="39"/>
      <c r="AMQ5" s="39"/>
      <c r="AMR5" s="39"/>
    </row>
    <row r="6" spans="1:1033" x14ac:dyDescent="0.2">
      <c r="A6" s="39" t="s">
        <v>289</v>
      </c>
      <c r="B6" s="39" t="s">
        <v>278</v>
      </c>
      <c r="C6" s="39" t="s">
        <v>279</v>
      </c>
      <c r="D6" s="39" t="s">
        <v>279</v>
      </c>
      <c r="E6" s="41" t="s">
        <v>290</v>
      </c>
      <c r="F6" s="39" t="s">
        <v>202</v>
      </c>
      <c r="G6" s="38" t="s">
        <v>291</v>
      </c>
      <c r="H6" s="39" t="s">
        <v>281</v>
      </c>
      <c r="I6" s="39"/>
      <c r="J6" s="38">
        <v>240</v>
      </c>
      <c r="K6" s="39" t="s">
        <v>282</v>
      </c>
      <c r="L6" s="39"/>
      <c r="M6" s="39"/>
      <c r="N6" s="39"/>
      <c r="O6" s="39"/>
      <c r="P6" s="39"/>
      <c r="Q6" s="39" t="s">
        <v>292</v>
      </c>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39"/>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39"/>
      <c r="JN6" s="39"/>
      <c r="JO6" s="39"/>
      <c r="JP6" s="39"/>
      <c r="JQ6" s="39"/>
      <c r="JR6" s="39"/>
      <c r="JS6" s="39"/>
      <c r="JT6" s="39"/>
      <c r="JU6" s="39"/>
      <c r="JV6" s="39"/>
      <c r="JW6" s="39"/>
      <c r="JX6" s="39"/>
      <c r="JY6" s="39"/>
      <c r="JZ6" s="39"/>
      <c r="KA6" s="39"/>
      <c r="KB6" s="39"/>
      <c r="KC6" s="39"/>
      <c r="KD6" s="39"/>
      <c r="KE6" s="39"/>
      <c r="KF6" s="39"/>
      <c r="KG6" s="39"/>
      <c r="KH6" s="39"/>
      <c r="KI6" s="39"/>
      <c r="KJ6" s="39"/>
      <c r="KK6" s="39"/>
      <c r="KL6" s="39"/>
      <c r="KM6" s="39"/>
      <c r="KN6" s="39"/>
      <c r="KO6" s="39"/>
      <c r="KP6" s="39"/>
      <c r="KQ6" s="39"/>
      <c r="KR6" s="39"/>
      <c r="KS6" s="39"/>
      <c r="KT6" s="39"/>
      <c r="KU6" s="39"/>
      <c r="KV6" s="39"/>
      <c r="KW6" s="39"/>
      <c r="KX6" s="39"/>
      <c r="KY6" s="39"/>
      <c r="KZ6" s="39"/>
      <c r="LA6" s="39"/>
      <c r="LB6" s="39"/>
      <c r="LC6" s="39"/>
      <c r="LD6" s="39"/>
      <c r="LE6" s="39"/>
      <c r="LF6" s="39"/>
      <c r="LG6" s="39"/>
      <c r="LH6" s="39"/>
      <c r="LI6" s="39"/>
      <c r="LJ6" s="39"/>
      <c r="LK6" s="39"/>
      <c r="LL6" s="39"/>
      <c r="LM6" s="39"/>
      <c r="LN6" s="39"/>
      <c r="LO6" s="39"/>
      <c r="LP6" s="39"/>
      <c r="LQ6" s="39"/>
      <c r="LR6" s="39"/>
      <c r="LS6" s="39"/>
      <c r="LT6" s="39"/>
      <c r="LU6" s="39"/>
      <c r="LV6" s="39"/>
      <c r="LW6" s="39"/>
      <c r="LX6" s="39"/>
      <c r="LY6" s="39"/>
      <c r="LZ6" s="39"/>
      <c r="MA6" s="39"/>
      <c r="MB6" s="39"/>
      <c r="MC6" s="39"/>
      <c r="MD6" s="39"/>
      <c r="ME6" s="39"/>
      <c r="MF6" s="39"/>
      <c r="MG6" s="39"/>
      <c r="MH6" s="39"/>
      <c r="MI6" s="39"/>
      <c r="MJ6" s="39"/>
      <c r="MK6" s="39"/>
      <c r="ML6" s="39"/>
      <c r="MM6" s="39"/>
      <c r="MN6" s="39"/>
      <c r="MO6" s="39"/>
      <c r="MP6" s="39"/>
      <c r="MQ6" s="39"/>
      <c r="MR6" s="39"/>
      <c r="MS6" s="39"/>
      <c r="MT6" s="39"/>
      <c r="MU6" s="39"/>
      <c r="MV6" s="39"/>
      <c r="MW6" s="39"/>
      <c r="MX6" s="39"/>
      <c r="MY6" s="39"/>
      <c r="MZ6" s="39"/>
      <c r="NA6" s="39"/>
      <c r="NB6" s="39"/>
      <c r="NC6" s="39"/>
      <c r="ND6" s="39"/>
      <c r="NE6" s="39"/>
      <c r="NF6" s="39"/>
      <c r="NG6" s="39"/>
      <c r="NH6" s="39"/>
      <c r="NI6" s="39"/>
      <c r="NJ6" s="39"/>
      <c r="NK6" s="39"/>
      <c r="NL6" s="39"/>
      <c r="NM6" s="39"/>
      <c r="NN6" s="39"/>
      <c r="NO6" s="39"/>
      <c r="NP6" s="39"/>
      <c r="NQ6" s="39"/>
      <c r="NR6" s="39"/>
      <c r="NS6" s="39"/>
      <c r="NT6" s="39"/>
      <c r="NU6" s="39"/>
      <c r="NV6" s="39"/>
      <c r="NW6" s="39"/>
      <c r="NX6" s="39"/>
      <c r="NY6" s="39"/>
      <c r="NZ6" s="39"/>
      <c r="OA6" s="39"/>
      <c r="OB6" s="39"/>
      <c r="OC6" s="39"/>
      <c r="OD6" s="39"/>
      <c r="OE6" s="39"/>
      <c r="OF6" s="39"/>
      <c r="OG6" s="39"/>
      <c r="OH6" s="39"/>
      <c r="OI6" s="39"/>
      <c r="OJ6" s="39"/>
      <c r="OK6" s="39"/>
      <c r="OL6" s="39"/>
      <c r="OM6" s="39"/>
      <c r="ON6" s="39"/>
      <c r="OO6" s="39"/>
      <c r="OP6" s="39"/>
      <c r="OQ6" s="39"/>
      <c r="OR6" s="39"/>
      <c r="OS6" s="39"/>
      <c r="OT6" s="39"/>
      <c r="OU6" s="39"/>
      <c r="OV6" s="39"/>
      <c r="OW6" s="39"/>
      <c r="OX6" s="39"/>
      <c r="OY6" s="39"/>
      <c r="OZ6" s="39"/>
      <c r="PA6" s="39"/>
      <c r="PB6" s="39"/>
      <c r="PC6" s="39"/>
      <c r="PD6" s="39"/>
      <c r="PE6" s="39"/>
      <c r="PF6" s="39"/>
      <c r="PG6" s="39"/>
      <c r="PH6" s="39"/>
      <c r="PI6" s="39"/>
      <c r="PJ6" s="39"/>
      <c r="PK6" s="39"/>
      <c r="PL6" s="39"/>
      <c r="PM6" s="39"/>
      <c r="PN6" s="39"/>
      <c r="PO6" s="39"/>
      <c r="PP6" s="39"/>
      <c r="PQ6" s="39"/>
      <c r="PR6" s="39"/>
      <c r="PS6" s="39"/>
      <c r="PT6" s="39"/>
      <c r="PU6" s="39"/>
      <c r="PV6" s="39"/>
      <c r="PW6" s="39"/>
      <c r="PX6" s="39"/>
      <c r="PY6" s="39"/>
      <c r="PZ6" s="39"/>
      <c r="QA6" s="39"/>
      <c r="QB6" s="39"/>
      <c r="QC6" s="39"/>
      <c r="QD6" s="39"/>
      <c r="QE6" s="39"/>
      <c r="QF6" s="39"/>
      <c r="QG6" s="39"/>
      <c r="QH6" s="39"/>
      <c r="QI6" s="39"/>
      <c r="QJ6" s="39"/>
      <c r="QK6" s="39"/>
      <c r="QL6" s="39"/>
      <c r="QM6" s="39"/>
      <c r="QN6" s="39"/>
      <c r="QO6" s="39"/>
      <c r="QP6" s="39"/>
      <c r="QQ6" s="39"/>
      <c r="QR6" s="39"/>
      <c r="QS6" s="39"/>
      <c r="QT6" s="39"/>
      <c r="QU6" s="39"/>
      <c r="QV6" s="39"/>
      <c r="QW6" s="39"/>
      <c r="QX6" s="39"/>
      <c r="QY6" s="39"/>
      <c r="QZ6" s="39"/>
      <c r="RA6" s="39"/>
      <c r="RB6" s="39"/>
      <c r="RC6" s="39"/>
      <c r="RD6" s="39"/>
      <c r="RE6" s="39"/>
      <c r="RF6" s="39"/>
      <c r="RG6" s="39"/>
      <c r="RH6" s="39"/>
      <c r="RI6" s="39"/>
      <c r="RJ6" s="39"/>
      <c r="RK6" s="39"/>
      <c r="RL6" s="39"/>
      <c r="RM6" s="39"/>
      <c r="RN6" s="39"/>
      <c r="RO6" s="39"/>
      <c r="RP6" s="39"/>
      <c r="RQ6" s="39"/>
      <c r="RR6" s="39"/>
      <c r="RS6" s="39"/>
      <c r="RT6" s="39"/>
      <c r="RU6" s="39"/>
      <c r="RV6" s="39"/>
      <c r="RW6" s="39"/>
      <c r="RX6" s="39"/>
      <c r="RY6" s="39"/>
      <c r="RZ6" s="39"/>
      <c r="SA6" s="39"/>
      <c r="SB6" s="39"/>
      <c r="SC6" s="39"/>
      <c r="SD6" s="39"/>
      <c r="SE6" s="39"/>
      <c r="SF6" s="39"/>
      <c r="SG6" s="39"/>
      <c r="SH6" s="39"/>
      <c r="SI6" s="39"/>
      <c r="SJ6" s="39"/>
      <c r="SK6" s="39"/>
      <c r="SL6" s="39"/>
      <c r="SM6" s="39"/>
      <c r="SN6" s="39"/>
      <c r="SO6" s="39"/>
      <c r="SP6" s="39"/>
      <c r="SQ6" s="39"/>
      <c r="SR6" s="39"/>
      <c r="SS6" s="39"/>
      <c r="ST6" s="39"/>
      <c r="SU6" s="39"/>
      <c r="SV6" s="39"/>
      <c r="SW6" s="39"/>
      <c r="SX6" s="39"/>
      <c r="SY6" s="39"/>
      <c r="SZ6" s="39"/>
      <c r="TA6" s="39"/>
      <c r="TB6" s="39"/>
      <c r="TC6" s="39"/>
      <c r="TD6" s="39"/>
      <c r="TE6" s="39"/>
      <c r="TF6" s="39"/>
      <c r="TG6" s="39"/>
      <c r="TH6" s="39"/>
      <c r="TI6" s="39"/>
      <c r="TJ6" s="39"/>
      <c r="TK6" s="39"/>
      <c r="TL6" s="39"/>
      <c r="TM6" s="39"/>
      <c r="TN6" s="39"/>
      <c r="TO6" s="39"/>
      <c r="TP6" s="39"/>
      <c r="TQ6" s="39"/>
      <c r="TR6" s="39"/>
      <c r="TS6" s="39"/>
      <c r="TT6" s="39"/>
      <c r="TU6" s="39"/>
      <c r="TV6" s="39"/>
      <c r="TW6" s="39"/>
      <c r="TX6" s="39"/>
      <c r="TY6" s="39"/>
      <c r="TZ6" s="39"/>
      <c r="UA6" s="39"/>
      <c r="UB6" s="39"/>
      <c r="UC6" s="39"/>
      <c r="UD6" s="39"/>
      <c r="UE6" s="39"/>
      <c r="UF6" s="39"/>
      <c r="UG6" s="39"/>
      <c r="UH6" s="39"/>
      <c r="UI6" s="39"/>
      <c r="UJ6" s="39"/>
      <c r="UK6" s="39"/>
      <c r="UL6" s="39"/>
      <c r="UM6" s="39"/>
      <c r="UN6" s="39"/>
      <c r="UO6" s="39"/>
      <c r="UP6" s="39"/>
      <c r="UQ6" s="39"/>
      <c r="UR6" s="39"/>
      <c r="US6" s="39"/>
      <c r="UT6" s="39"/>
      <c r="UU6" s="39"/>
      <c r="UV6" s="39"/>
      <c r="UW6" s="39"/>
      <c r="UX6" s="39"/>
      <c r="UY6" s="39"/>
      <c r="UZ6" s="39"/>
      <c r="VA6" s="39"/>
      <c r="VB6" s="39"/>
      <c r="VC6" s="39"/>
      <c r="VD6" s="39"/>
      <c r="VE6" s="39"/>
      <c r="VF6" s="39"/>
      <c r="VG6" s="39"/>
      <c r="VH6" s="39"/>
      <c r="VI6" s="39"/>
      <c r="VJ6" s="39"/>
      <c r="VK6" s="39"/>
      <c r="VL6" s="39"/>
      <c r="VM6" s="39"/>
      <c r="VN6" s="39"/>
      <c r="VO6" s="39"/>
      <c r="VP6" s="39"/>
      <c r="VQ6" s="39"/>
      <c r="VR6" s="39"/>
      <c r="VS6" s="39"/>
      <c r="VT6" s="39"/>
      <c r="VU6" s="39"/>
      <c r="VV6" s="39"/>
      <c r="VW6" s="39"/>
      <c r="VX6" s="39"/>
      <c r="VY6" s="39"/>
      <c r="VZ6" s="39"/>
      <c r="WA6" s="39"/>
      <c r="WB6" s="39"/>
      <c r="WC6" s="39"/>
      <c r="WD6" s="39"/>
      <c r="WE6" s="39"/>
      <c r="WF6" s="39"/>
      <c r="WG6" s="39"/>
      <c r="WH6" s="39"/>
      <c r="WI6" s="39"/>
      <c r="WJ6" s="39"/>
      <c r="WK6" s="39"/>
      <c r="WL6" s="39"/>
      <c r="WM6" s="39"/>
      <c r="WN6" s="39"/>
      <c r="WO6" s="39"/>
      <c r="WP6" s="39"/>
      <c r="WQ6" s="39"/>
      <c r="WR6" s="39"/>
      <c r="WS6" s="39"/>
      <c r="WT6" s="39"/>
      <c r="WU6" s="39"/>
      <c r="WV6" s="39"/>
      <c r="WW6" s="39"/>
      <c r="WX6" s="39"/>
      <c r="WY6" s="39"/>
      <c r="WZ6" s="39"/>
      <c r="XA6" s="39"/>
      <c r="XB6" s="39"/>
      <c r="XC6" s="39"/>
      <c r="XD6" s="39"/>
      <c r="XE6" s="39"/>
      <c r="XF6" s="39"/>
      <c r="XG6" s="39"/>
      <c r="XH6" s="39"/>
      <c r="XI6" s="39"/>
      <c r="XJ6" s="39"/>
      <c r="XK6" s="39"/>
      <c r="XL6" s="39"/>
      <c r="XM6" s="39"/>
      <c r="XN6" s="39"/>
      <c r="XO6" s="39"/>
      <c r="XP6" s="39"/>
      <c r="XQ6" s="39"/>
      <c r="XR6" s="39"/>
      <c r="XS6" s="39"/>
      <c r="XT6" s="39"/>
      <c r="XU6" s="39"/>
      <c r="XV6" s="39"/>
      <c r="XW6" s="39"/>
      <c r="XX6" s="39"/>
      <c r="XY6" s="39"/>
      <c r="XZ6" s="39"/>
      <c r="YA6" s="39"/>
      <c r="YB6" s="39"/>
      <c r="YC6" s="39"/>
      <c r="YD6" s="39"/>
      <c r="YE6" s="39"/>
      <c r="YF6" s="39"/>
      <c r="YG6" s="39"/>
      <c r="YH6" s="39"/>
      <c r="YI6" s="39"/>
      <c r="YJ6" s="39"/>
      <c r="YK6" s="39"/>
      <c r="YL6" s="39"/>
      <c r="YM6" s="39"/>
      <c r="YN6" s="39"/>
      <c r="YO6" s="39"/>
      <c r="YP6" s="39"/>
      <c r="YQ6" s="39"/>
      <c r="YR6" s="39"/>
      <c r="YS6" s="39"/>
      <c r="YT6" s="39"/>
      <c r="YU6" s="39"/>
      <c r="YV6" s="39"/>
      <c r="YW6" s="39"/>
      <c r="YX6" s="39"/>
      <c r="YY6" s="39"/>
      <c r="YZ6" s="39"/>
      <c r="ZA6" s="39"/>
      <c r="ZB6" s="39"/>
      <c r="ZC6" s="39"/>
      <c r="ZD6" s="39"/>
      <c r="ZE6" s="39"/>
      <c r="ZF6" s="39"/>
      <c r="ZG6" s="39"/>
      <c r="ZH6" s="39"/>
      <c r="ZI6" s="39"/>
      <c r="ZJ6" s="39"/>
      <c r="ZK6" s="39"/>
      <c r="ZL6" s="39"/>
      <c r="ZM6" s="39"/>
      <c r="ZN6" s="39"/>
      <c r="ZO6" s="39"/>
      <c r="ZP6" s="39"/>
      <c r="ZQ6" s="39"/>
      <c r="ZR6" s="39"/>
      <c r="ZS6" s="39"/>
      <c r="ZT6" s="39"/>
      <c r="ZU6" s="39"/>
      <c r="ZV6" s="39"/>
      <c r="ZW6" s="39"/>
      <c r="ZX6" s="39"/>
      <c r="ZY6" s="39"/>
      <c r="ZZ6" s="39"/>
      <c r="AAA6" s="39"/>
      <c r="AAB6" s="39"/>
      <c r="AAC6" s="39"/>
      <c r="AAD6" s="39"/>
      <c r="AAE6" s="39"/>
      <c r="AAF6" s="39"/>
      <c r="AAG6" s="39"/>
      <c r="AAH6" s="39"/>
      <c r="AAI6" s="39"/>
      <c r="AAJ6" s="39"/>
      <c r="AAK6" s="39"/>
      <c r="AAL6" s="39"/>
      <c r="AAM6" s="39"/>
      <c r="AAN6" s="39"/>
      <c r="AAO6" s="39"/>
      <c r="AAP6" s="39"/>
      <c r="AAQ6" s="39"/>
      <c r="AAR6" s="39"/>
      <c r="AAS6" s="39"/>
      <c r="AAT6" s="39"/>
      <c r="AAU6" s="39"/>
      <c r="AAV6" s="39"/>
      <c r="AAW6" s="39"/>
      <c r="AAX6" s="39"/>
      <c r="AAY6" s="39"/>
      <c r="AAZ6" s="39"/>
      <c r="ABA6" s="39"/>
      <c r="ABB6" s="39"/>
      <c r="ABC6" s="39"/>
      <c r="ABD6" s="39"/>
      <c r="ABE6" s="39"/>
      <c r="ABF6" s="39"/>
      <c r="ABG6" s="39"/>
      <c r="ABH6" s="39"/>
      <c r="ABI6" s="39"/>
      <c r="ABJ6" s="39"/>
      <c r="ABK6" s="39"/>
      <c r="ABL6" s="39"/>
      <c r="ABM6" s="39"/>
      <c r="ABN6" s="39"/>
      <c r="ABO6" s="39"/>
      <c r="ABP6" s="39"/>
      <c r="ABQ6" s="39"/>
      <c r="ABR6" s="39"/>
      <c r="ABS6" s="39"/>
      <c r="ABT6" s="39"/>
      <c r="ABU6" s="39"/>
      <c r="ABV6" s="39"/>
      <c r="ABW6" s="39"/>
      <c r="ABX6" s="39"/>
      <c r="ABY6" s="39"/>
      <c r="ABZ6" s="39"/>
      <c r="ACA6" s="39"/>
      <c r="ACB6" s="39"/>
      <c r="ACC6" s="39"/>
      <c r="ACD6" s="39"/>
      <c r="ACE6" s="39"/>
      <c r="ACF6" s="39"/>
      <c r="ACG6" s="39"/>
      <c r="ACH6" s="39"/>
      <c r="ACI6" s="39"/>
      <c r="ACJ6" s="39"/>
      <c r="ACK6" s="39"/>
      <c r="ACL6" s="39"/>
      <c r="ACM6" s="39"/>
      <c r="ACN6" s="39"/>
      <c r="ACO6" s="39"/>
      <c r="ACP6" s="39"/>
      <c r="ACQ6" s="39"/>
      <c r="ACR6" s="39"/>
      <c r="ACS6" s="39"/>
      <c r="ACT6" s="39"/>
      <c r="ACU6" s="39"/>
      <c r="ACV6" s="39"/>
      <c r="ACW6" s="39"/>
      <c r="ACX6" s="39"/>
      <c r="ACY6" s="39"/>
      <c r="ACZ6" s="39"/>
      <c r="ADA6" s="39"/>
      <c r="ADB6" s="39"/>
      <c r="ADC6" s="39"/>
      <c r="ADD6" s="39"/>
      <c r="ADE6" s="39"/>
      <c r="ADF6" s="39"/>
      <c r="ADG6" s="39"/>
      <c r="ADH6" s="39"/>
      <c r="ADI6" s="39"/>
      <c r="ADJ6" s="39"/>
      <c r="ADK6" s="39"/>
      <c r="ADL6" s="39"/>
      <c r="ADM6" s="39"/>
      <c r="ADN6" s="39"/>
      <c r="ADO6" s="39"/>
      <c r="ADP6" s="39"/>
      <c r="ADQ6" s="39"/>
      <c r="ADR6" s="39"/>
      <c r="ADS6" s="39"/>
      <c r="ADT6" s="39"/>
      <c r="ADU6" s="39"/>
      <c r="ADV6" s="39"/>
      <c r="ADW6" s="39"/>
      <c r="ADX6" s="39"/>
      <c r="ADY6" s="39"/>
      <c r="ADZ6" s="39"/>
      <c r="AEA6" s="39"/>
      <c r="AEB6" s="39"/>
      <c r="AEC6" s="39"/>
      <c r="AED6" s="39"/>
      <c r="AEE6" s="39"/>
      <c r="AEF6" s="39"/>
      <c r="AEG6" s="39"/>
      <c r="AEH6" s="39"/>
      <c r="AEI6" s="39"/>
      <c r="AEJ6" s="39"/>
      <c r="AEK6" s="39"/>
      <c r="AEL6" s="39"/>
      <c r="AEM6" s="39"/>
      <c r="AEN6" s="39"/>
      <c r="AEO6" s="39"/>
      <c r="AEP6" s="39"/>
      <c r="AEQ6" s="39"/>
      <c r="AER6" s="39"/>
      <c r="AES6" s="39"/>
      <c r="AET6" s="39"/>
      <c r="AEU6" s="39"/>
      <c r="AEV6" s="39"/>
      <c r="AEW6" s="39"/>
      <c r="AEX6" s="39"/>
      <c r="AEY6" s="39"/>
      <c r="AEZ6" s="39"/>
      <c r="AFA6" s="39"/>
      <c r="AFB6" s="39"/>
      <c r="AFC6" s="39"/>
      <c r="AFD6" s="39"/>
      <c r="AFE6" s="39"/>
      <c r="AFF6" s="39"/>
      <c r="AFG6" s="39"/>
      <c r="AFH6" s="39"/>
      <c r="AFI6" s="39"/>
      <c r="AFJ6" s="39"/>
      <c r="AFK6" s="39"/>
      <c r="AFL6" s="39"/>
      <c r="AFM6" s="39"/>
      <c r="AFN6" s="39"/>
      <c r="AFO6" s="39"/>
      <c r="AFP6" s="39"/>
      <c r="AFQ6" s="39"/>
      <c r="AFR6" s="39"/>
      <c r="AFS6" s="39"/>
      <c r="AFT6" s="39"/>
      <c r="AFU6" s="39"/>
      <c r="AFV6" s="39"/>
      <c r="AFW6" s="39"/>
      <c r="AFX6" s="39"/>
      <c r="AFY6" s="39"/>
      <c r="AFZ6" s="39"/>
      <c r="AGA6" s="39"/>
      <c r="AGB6" s="39"/>
      <c r="AGC6" s="39"/>
      <c r="AGD6" s="39"/>
      <c r="AGE6" s="39"/>
      <c r="AGF6" s="39"/>
      <c r="AGG6" s="39"/>
      <c r="AGH6" s="39"/>
      <c r="AGI6" s="39"/>
      <c r="AGJ6" s="39"/>
      <c r="AGK6" s="39"/>
      <c r="AGL6" s="39"/>
      <c r="AGM6" s="39"/>
      <c r="AGN6" s="39"/>
      <c r="AGO6" s="39"/>
      <c r="AGP6" s="39"/>
      <c r="AGQ6" s="39"/>
      <c r="AGR6" s="39"/>
      <c r="AGS6" s="39"/>
      <c r="AGT6" s="39"/>
      <c r="AGU6" s="39"/>
      <c r="AGV6" s="39"/>
      <c r="AGW6" s="39"/>
      <c r="AGX6" s="39"/>
      <c r="AGY6" s="39"/>
      <c r="AGZ6" s="39"/>
      <c r="AHA6" s="39"/>
      <c r="AHB6" s="39"/>
      <c r="AHC6" s="39"/>
      <c r="AHD6" s="39"/>
      <c r="AHE6" s="39"/>
      <c r="AHF6" s="39"/>
      <c r="AHG6" s="39"/>
      <c r="AHH6" s="39"/>
      <c r="AHI6" s="39"/>
      <c r="AHJ6" s="39"/>
      <c r="AHK6" s="39"/>
      <c r="AHL6" s="39"/>
      <c r="AHM6" s="39"/>
      <c r="AHN6" s="39"/>
      <c r="AHO6" s="39"/>
      <c r="AHP6" s="39"/>
      <c r="AHQ6" s="39"/>
      <c r="AHR6" s="39"/>
      <c r="AHS6" s="39"/>
      <c r="AHT6" s="39"/>
      <c r="AHU6" s="39"/>
      <c r="AHV6" s="39"/>
      <c r="AHW6" s="39"/>
      <c r="AHX6" s="39"/>
      <c r="AHY6" s="39"/>
      <c r="AHZ6" s="39"/>
      <c r="AIA6" s="39"/>
      <c r="AIB6" s="39"/>
      <c r="AIC6" s="39"/>
      <c r="AID6" s="39"/>
      <c r="AIE6" s="39"/>
      <c r="AIF6" s="39"/>
      <c r="AIG6" s="39"/>
      <c r="AIH6" s="39"/>
      <c r="AII6" s="39"/>
      <c r="AIJ6" s="39"/>
      <c r="AIK6" s="39"/>
      <c r="AIL6" s="39"/>
      <c r="AIM6" s="39"/>
      <c r="AIN6" s="39"/>
      <c r="AIO6" s="39"/>
      <c r="AIP6" s="39"/>
      <c r="AIQ6" s="39"/>
      <c r="AIR6" s="39"/>
      <c r="AIS6" s="39"/>
      <c r="AIT6" s="39"/>
      <c r="AIU6" s="39"/>
      <c r="AIV6" s="39"/>
      <c r="AIW6" s="39"/>
      <c r="AIX6" s="39"/>
      <c r="AIY6" s="39"/>
      <c r="AIZ6" s="39"/>
      <c r="AJA6" s="39"/>
      <c r="AJB6" s="39"/>
      <c r="AJC6" s="39"/>
      <c r="AJD6" s="39"/>
      <c r="AJE6" s="39"/>
      <c r="AJF6" s="39"/>
      <c r="AJG6" s="39"/>
      <c r="AJH6" s="39"/>
      <c r="AJI6" s="39"/>
      <c r="AJJ6" s="39"/>
      <c r="AJK6" s="39"/>
      <c r="AJL6" s="39"/>
      <c r="AJM6" s="39"/>
      <c r="AJN6" s="39"/>
      <c r="AJO6" s="39"/>
      <c r="AJP6" s="39"/>
      <c r="AJQ6" s="39"/>
      <c r="AJR6" s="39"/>
      <c r="AJS6" s="39"/>
      <c r="AJT6" s="39"/>
      <c r="AJU6" s="39"/>
      <c r="AJV6" s="39"/>
      <c r="AJW6" s="39"/>
      <c r="AJX6" s="39"/>
      <c r="AJY6" s="39"/>
      <c r="AJZ6" s="39"/>
      <c r="AKA6" s="39"/>
      <c r="AKB6" s="39"/>
      <c r="AKC6" s="39"/>
      <c r="AKD6" s="39"/>
      <c r="AKE6" s="39"/>
      <c r="AKF6" s="39"/>
      <c r="AKG6" s="39"/>
      <c r="AKH6" s="39"/>
      <c r="AKI6" s="39"/>
      <c r="AKJ6" s="39"/>
      <c r="AKK6" s="39"/>
      <c r="AKL6" s="39"/>
      <c r="AKM6" s="39"/>
      <c r="AKN6" s="39"/>
      <c r="AKO6" s="39"/>
      <c r="AKP6" s="39"/>
      <c r="AKQ6" s="39"/>
      <c r="AKR6" s="39"/>
      <c r="AKS6" s="39"/>
      <c r="AKT6" s="39"/>
      <c r="AKU6" s="39"/>
      <c r="AKV6" s="39"/>
      <c r="AKW6" s="39"/>
      <c r="AKX6" s="39"/>
      <c r="AKY6" s="39"/>
      <c r="AKZ6" s="39"/>
      <c r="ALA6" s="39"/>
      <c r="ALB6" s="39"/>
      <c r="ALC6" s="39"/>
      <c r="ALD6" s="39"/>
      <c r="ALE6" s="39"/>
      <c r="ALF6" s="39"/>
      <c r="ALG6" s="39"/>
      <c r="ALH6" s="39"/>
      <c r="ALI6" s="39"/>
      <c r="ALJ6" s="39"/>
      <c r="ALK6" s="39"/>
      <c r="ALL6" s="39"/>
      <c r="ALM6" s="39"/>
      <c r="ALN6" s="39"/>
      <c r="ALO6" s="39"/>
      <c r="ALP6" s="39"/>
      <c r="ALQ6" s="39"/>
      <c r="ALR6" s="39"/>
      <c r="ALS6" s="39"/>
      <c r="ALT6" s="39"/>
      <c r="ALU6" s="39"/>
      <c r="ALV6" s="39"/>
      <c r="ALW6" s="39"/>
      <c r="ALX6" s="39"/>
      <c r="ALY6" s="39"/>
      <c r="ALZ6" s="39"/>
      <c r="AMA6" s="39"/>
      <c r="AMB6" s="39"/>
      <c r="AMC6" s="39"/>
      <c r="AMD6" s="39"/>
      <c r="AME6" s="39"/>
      <c r="AMF6" s="39"/>
      <c r="AMG6" s="39"/>
      <c r="AMH6" s="39"/>
      <c r="AMI6" s="39"/>
      <c r="AMJ6" s="39"/>
      <c r="AMK6" s="39"/>
      <c r="AML6" s="39"/>
      <c r="AMM6" s="39"/>
      <c r="AMN6" s="39"/>
      <c r="AMO6" s="39"/>
      <c r="AMP6" s="39"/>
      <c r="AMQ6" s="39"/>
      <c r="AMR6" s="39"/>
    </row>
    <row r="7" spans="1:1033" x14ac:dyDescent="0.2">
      <c r="A7" s="38" t="s">
        <v>293</v>
      </c>
      <c r="B7" s="38" t="s">
        <v>278</v>
      </c>
      <c r="C7" s="38" t="s">
        <v>293</v>
      </c>
      <c r="D7" s="39" t="s">
        <v>293</v>
      </c>
      <c r="F7" s="38" t="s">
        <v>133</v>
      </c>
      <c r="G7" s="38" t="s">
        <v>294</v>
      </c>
      <c r="H7" s="38" t="s">
        <v>281</v>
      </c>
      <c r="J7" s="38">
        <v>60</v>
      </c>
      <c r="K7" s="38" t="s">
        <v>282</v>
      </c>
      <c r="L7" s="40"/>
      <c r="M7" s="40"/>
      <c r="N7" s="40"/>
      <c r="O7" s="40"/>
      <c r="P7" s="40"/>
      <c r="Q7" s="38" t="s">
        <v>295</v>
      </c>
    </row>
    <row r="8" spans="1:1033" ht="25.5" x14ac:dyDescent="0.2">
      <c r="A8" s="38" t="s">
        <v>296</v>
      </c>
      <c r="B8" s="38" t="s">
        <v>278</v>
      </c>
      <c r="C8" s="38" t="s">
        <v>293</v>
      </c>
      <c r="D8" s="39" t="s">
        <v>297</v>
      </c>
      <c r="E8" s="38" t="s">
        <v>298</v>
      </c>
      <c r="F8" s="38" t="s">
        <v>202</v>
      </c>
      <c r="G8" s="38" t="s">
        <v>299</v>
      </c>
      <c r="H8" s="38" t="s">
        <v>281</v>
      </c>
      <c r="J8" s="38">
        <v>120</v>
      </c>
      <c r="K8" s="38" t="s">
        <v>282</v>
      </c>
      <c r="L8" s="40"/>
      <c r="M8" s="40"/>
      <c r="N8" s="40"/>
      <c r="O8" s="40"/>
      <c r="P8" s="40"/>
      <c r="Q8" s="38" t="s">
        <v>300</v>
      </c>
    </row>
    <row r="9" spans="1:1033" ht="27.75" customHeight="1" x14ac:dyDescent="0.2">
      <c r="A9" s="38" t="s">
        <v>301</v>
      </c>
      <c r="B9" s="38" t="s">
        <v>302</v>
      </c>
      <c r="C9" s="39" t="s">
        <v>279</v>
      </c>
      <c r="D9" s="38" t="s">
        <v>301</v>
      </c>
      <c r="G9" s="38">
        <v>1</v>
      </c>
      <c r="H9" s="38" t="s">
        <v>281</v>
      </c>
      <c r="J9" s="38">
        <v>36</v>
      </c>
      <c r="K9" s="38" t="s">
        <v>282</v>
      </c>
      <c r="L9" s="40"/>
      <c r="M9" s="40"/>
      <c r="N9" s="40"/>
      <c r="O9" s="40"/>
      <c r="P9" s="40"/>
      <c r="Q9" s="38" t="s">
        <v>303</v>
      </c>
    </row>
    <row r="10" spans="1:1033" s="42" customFormat="1" ht="38.25" x14ac:dyDescent="0.2">
      <c r="A10" s="38" t="s">
        <v>284</v>
      </c>
      <c r="B10" s="38" t="s">
        <v>302</v>
      </c>
      <c r="C10" s="38" t="s">
        <v>284</v>
      </c>
      <c r="D10" s="38" t="s">
        <v>284</v>
      </c>
      <c r="E10" s="38"/>
      <c r="F10" s="38"/>
      <c r="G10" s="38">
        <v>1</v>
      </c>
      <c r="H10" s="38" t="s">
        <v>281</v>
      </c>
      <c r="I10" s="38"/>
      <c r="J10" s="38">
        <v>36</v>
      </c>
      <c r="K10" s="38" t="s">
        <v>282</v>
      </c>
      <c r="L10" s="38"/>
      <c r="M10" s="38"/>
      <c r="N10" s="38"/>
      <c r="O10" s="38"/>
      <c r="P10" s="38"/>
      <c r="Q10" s="38" t="s">
        <v>286</v>
      </c>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c r="FU10" s="38"/>
      <c r="FV10" s="38"/>
      <c r="FW10" s="38"/>
      <c r="FX10" s="38"/>
      <c r="FY10" s="38"/>
      <c r="FZ10" s="38"/>
      <c r="GA10" s="38"/>
      <c r="GB10" s="38"/>
      <c r="GC10" s="38"/>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8"/>
      <c r="HB10" s="38"/>
      <c r="HC10" s="38"/>
      <c r="HD10" s="38"/>
      <c r="HE10" s="38"/>
      <c r="HF10" s="38"/>
      <c r="HG10" s="38"/>
      <c r="HH10" s="38"/>
      <c r="HI10" s="38"/>
      <c r="HJ10" s="38"/>
      <c r="HK10" s="38"/>
      <c r="HL10" s="38"/>
      <c r="HM10" s="38"/>
      <c r="HN10" s="38"/>
      <c r="HO10" s="38"/>
      <c r="HP10" s="38"/>
      <c r="HQ10" s="38"/>
      <c r="HR10" s="38"/>
      <c r="HS10" s="38"/>
      <c r="HT10" s="38"/>
      <c r="HU10" s="38"/>
      <c r="HV10" s="38"/>
      <c r="HW10" s="38"/>
      <c r="HX10" s="38"/>
      <c r="HY10" s="38"/>
      <c r="HZ10" s="38"/>
      <c r="IA10" s="38"/>
      <c r="IB10" s="38"/>
      <c r="IC10" s="38"/>
      <c r="ID10" s="38"/>
      <c r="IE10" s="38"/>
      <c r="IF10" s="38"/>
      <c r="IG10" s="38"/>
      <c r="IH10" s="38"/>
      <c r="II10" s="38"/>
      <c r="IJ10" s="38"/>
      <c r="IK10" s="38"/>
      <c r="IL10" s="38"/>
      <c r="IM10" s="38"/>
      <c r="IN10" s="38"/>
      <c r="IO10" s="38"/>
      <c r="IP10" s="38"/>
      <c r="IQ10" s="38"/>
      <c r="IR10" s="38"/>
      <c r="IS10" s="38"/>
      <c r="IT10" s="38"/>
      <c r="IU10" s="38"/>
      <c r="IV10" s="38"/>
      <c r="IW10" s="38"/>
      <c r="IX10" s="38"/>
      <c r="IY10" s="38"/>
      <c r="IZ10" s="38"/>
      <c r="JA10" s="38"/>
      <c r="JB10" s="38"/>
      <c r="JC10" s="38"/>
      <c r="JD10" s="38"/>
      <c r="JE10" s="38"/>
      <c r="JF10" s="38"/>
      <c r="JG10" s="38"/>
      <c r="JH10" s="38"/>
      <c r="JI10" s="38"/>
      <c r="JJ10" s="38"/>
      <c r="JK10" s="38"/>
      <c r="JL10" s="38"/>
      <c r="JM10" s="38"/>
      <c r="JN10" s="38"/>
      <c r="JO10" s="38"/>
      <c r="JP10" s="38"/>
      <c r="JQ10" s="38"/>
      <c r="JR10" s="38"/>
      <c r="JS10" s="38"/>
      <c r="JT10" s="38"/>
      <c r="JU10" s="38"/>
      <c r="JV10" s="38"/>
      <c r="JW10" s="38"/>
      <c r="JX10" s="38"/>
      <c r="JY10" s="38"/>
      <c r="JZ10" s="38"/>
      <c r="KA10" s="38"/>
      <c r="KB10" s="38"/>
      <c r="KC10" s="38"/>
      <c r="KD10" s="38"/>
      <c r="KE10" s="38"/>
      <c r="KF10" s="38"/>
      <c r="KG10" s="38"/>
      <c r="KH10" s="38"/>
      <c r="KI10" s="38"/>
      <c r="KJ10" s="38"/>
      <c r="KK10" s="38"/>
      <c r="KL10" s="38"/>
      <c r="KM10" s="38"/>
      <c r="KN10" s="38"/>
      <c r="KO10" s="38"/>
      <c r="KP10" s="38"/>
      <c r="KQ10" s="38"/>
      <c r="KR10" s="38"/>
      <c r="KS10" s="38"/>
      <c r="KT10" s="38"/>
      <c r="KU10" s="38"/>
      <c r="KV10" s="38"/>
      <c r="KW10" s="38"/>
      <c r="KX10" s="38"/>
      <c r="KY10" s="38"/>
      <c r="KZ10" s="38"/>
      <c r="LA10" s="38"/>
      <c r="LB10" s="38"/>
      <c r="LC10" s="38"/>
      <c r="LD10" s="38"/>
      <c r="LE10" s="38"/>
      <c r="LF10" s="38"/>
      <c r="LG10" s="38"/>
      <c r="LH10" s="38"/>
      <c r="LI10" s="38"/>
      <c r="LJ10" s="38"/>
      <c r="LK10" s="38"/>
      <c r="LL10" s="38"/>
      <c r="LM10" s="38"/>
      <c r="LN10" s="38"/>
      <c r="LO10" s="38"/>
      <c r="LP10" s="38"/>
      <c r="LQ10" s="38"/>
      <c r="LR10" s="38"/>
      <c r="LS10" s="38"/>
      <c r="LT10" s="38"/>
      <c r="LU10" s="38"/>
      <c r="LV10" s="38"/>
      <c r="LW10" s="38"/>
      <c r="LX10" s="38"/>
      <c r="LY10" s="38"/>
      <c r="LZ10" s="38"/>
      <c r="MA10" s="38"/>
      <c r="MB10" s="38"/>
      <c r="MC10" s="38"/>
      <c r="MD10" s="38"/>
      <c r="ME10" s="38"/>
      <c r="MF10" s="38"/>
      <c r="MG10" s="38"/>
      <c r="MH10" s="38"/>
      <c r="MI10" s="38"/>
      <c r="MJ10" s="38"/>
      <c r="MK10" s="38"/>
      <c r="ML10" s="38"/>
      <c r="MM10" s="38"/>
      <c r="MN10" s="38"/>
      <c r="MO10" s="38"/>
      <c r="MP10" s="38"/>
      <c r="MQ10" s="38"/>
      <c r="MR10" s="38"/>
      <c r="MS10" s="38"/>
      <c r="MT10" s="38"/>
      <c r="MU10" s="38"/>
      <c r="MV10" s="38"/>
      <c r="MW10" s="38"/>
      <c r="MX10" s="38"/>
      <c r="MY10" s="38"/>
      <c r="MZ10" s="38"/>
      <c r="NA10" s="38"/>
      <c r="NB10" s="38"/>
      <c r="NC10" s="38"/>
      <c r="ND10" s="38"/>
      <c r="NE10" s="38"/>
      <c r="NF10" s="38"/>
      <c r="NG10" s="38"/>
      <c r="NH10" s="38"/>
      <c r="NI10" s="38"/>
      <c r="NJ10" s="38"/>
      <c r="NK10" s="38"/>
      <c r="NL10" s="38"/>
      <c r="NM10" s="38"/>
      <c r="NN10" s="38"/>
      <c r="NO10" s="38"/>
      <c r="NP10" s="38"/>
      <c r="NQ10" s="38"/>
      <c r="NR10" s="38"/>
      <c r="NS10" s="38"/>
      <c r="NT10" s="38"/>
      <c r="NU10" s="38"/>
      <c r="NV10" s="38"/>
      <c r="NW10" s="38"/>
      <c r="NX10" s="38"/>
      <c r="NY10" s="38"/>
      <c r="NZ10" s="38"/>
      <c r="OA10" s="38"/>
      <c r="OB10" s="38"/>
      <c r="OC10" s="38"/>
      <c r="OD10" s="38"/>
      <c r="OE10" s="38"/>
      <c r="OF10" s="38"/>
      <c r="OG10" s="38"/>
      <c r="OH10" s="38"/>
      <c r="OI10" s="38"/>
      <c r="OJ10" s="38"/>
      <c r="OK10" s="38"/>
      <c r="OL10" s="38"/>
      <c r="OM10" s="38"/>
      <c r="ON10" s="38"/>
      <c r="OO10" s="38"/>
      <c r="OP10" s="38"/>
      <c r="OQ10" s="38"/>
      <c r="OR10" s="38"/>
      <c r="OS10" s="38"/>
      <c r="OT10" s="38"/>
      <c r="OU10" s="38"/>
      <c r="OV10" s="38"/>
      <c r="OW10" s="38"/>
      <c r="OX10" s="38"/>
      <c r="OY10" s="38"/>
      <c r="OZ10" s="38"/>
      <c r="PA10" s="38"/>
      <c r="PB10" s="38"/>
      <c r="PC10" s="38"/>
      <c r="PD10" s="38"/>
      <c r="PE10" s="38"/>
      <c r="PF10" s="38"/>
      <c r="PG10" s="38"/>
      <c r="PH10" s="38"/>
      <c r="PI10" s="38"/>
      <c r="PJ10" s="38"/>
      <c r="PK10" s="38"/>
      <c r="PL10" s="38"/>
      <c r="PM10" s="38"/>
      <c r="PN10" s="38"/>
      <c r="PO10" s="38"/>
      <c r="PP10" s="38"/>
      <c r="PQ10" s="38"/>
      <c r="PR10" s="38"/>
      <c r="PS10" s="38"/>
      <c r="PT10" s="38"/>
      <c r="PU10" s="38"/>
      <c r="PV10" s="38"/>
      <c r="PW10" s="38"/>
      <c r="PX10" s="38"/>
      <c r="PY10" s="38"/>
      <c r="PZ10" s="38"/>
      <c r="QA10" s="38"/>
      <c r="QB10" s="38"/>
      <c r="QC10" s="38"/>
      <c r="QD10" s="38"/>
      <c r="QE10" s="38"/>
      <c r="QF10" s="38"/>
      <c r="QG10" s="38"/>
      <c r="QH10" s="38"/>
      <c r="QI10" s="38"/>
      <c r="QJ10" s="38"/>
      <c r="QK10" s="38"/>
      <c r="QL10" s="38"/>
      <c r="QM10" s="38"/>
      <c r="QN10" s="38"/>
      <c r="QO10" s="38"/>
      <c r="QP10" s="38"/>
      <c r="QQ10" s="38"/>
      <c r="QR10" s="38"/>
      <c r="QS10" s="38"/>
      <c r="QT10" s="38"/>
      <c r="QU10" s="38"/>
      <c r="QV10" s="38"/>
      <c r="QW10" s="38"/>
      <c r="QX10" s="38"/>
      <c r="QY10" s="38"/>
      <c r="QZ10" s="38"/>
      <c r="RA10" s="38"/>
      <c r="RB10" s="38"/>
      <c r="RC10" s="38"/>
      <c r="RD10" s="38"/>
      <c r="RE10" s="38"/>
      <c r="RF10" s="38"/>
      <c r="RG10" s="38"/>
      <c r="RH10" s="38"/>
      <c r="RI10" s="38"/>
      <c r="RJ10" s="38"/>
      <c r="RK10" s="38"/>
      <c r="RL10" s="38"/>
      <c r="RM10" s="38"/>
      <c r="RN10" s="38"/>
      <c r="RO10" s="38"/>
      <c r="RP10" s="38"/>
      <c r="RQ10" s="38"/>
      <c r="RR10" s="38"/>
      <c r="RS10" s="38"/>
      <c r="RT10" s="38"/>
      <c r="RU10" s="38"/>
      <c r="RV10" s="38"/>
      <c r="RW10" s="38"/>
      <c r="RX10" s="38"/>
      <c r="RY10" s="38"/>
      <c r="RZ10" s="38"/>
      <c r="SA10" s="38"/>
      <c r="SB10" s="38"/>
      <c r="SC10" s="38"/>
      <c r="SD10" s="38"/>
      <c r="SE10" s="38"/>
      <c r="SF10" s="38"/>
      <c r="SG10" s="38"/>
      <c r="SH10" s="38"/>
      <c r="SI10" s="38"/>
      <c r="SJ10" s="38"/>
      <c r="SK10" s="38"/>
      <c r="SL10" s="38"/>
      <c r="SM10" s="38"/>
      <c r="SN10" s="38"/>
      <c r="SO10" s="38"/>
      <c r="SP10" s="38"/>
      <c r="SQ10" s="38"/>
      <c r="SR10" s="38"/>
      <c r="SS10" s="38"/>
      <c r="ST10" s="38"/>
      <c r="SU10" s="38"/>
      <c r="SV10" s="38"/>
      <c r="SW10" s="38"/>
      <c r="SX10" s="38"/>
      <c r="SY10" s="38"/>
      <c r="SZ10" s="38"/>
      <c r="TA10" s="38"/>
      <c r="TB10" s="38"/>
      <c r="TC10" s="38"/>
      <c r="TD10" s="38"/>
      <c r="TE10" s="38"/>
      <c r="TF10" s="38"/>
      <c r="TG10" s="38"/>
      <c r="TH10" s="38"/>
      <c r="TI10" s="38"/>
      <c r="TJ10" s="38"/>
      <c r="TK10" s="38"/>
      <c r="TL10" s="38"/>
      <c r="TM10" s="38"/>
      <c r="TN10" s="38"/>
      <c r="TO10" s="38"/>
      <c r="TP10" s="38"/>
      <c r="TQ10" s="38"/>
      <c r="TR10" s="38"/>
      <c r="TS10" s="38"/>
      <c r="TT10" s="38"/>
      <c r="TU10" s="38"/>
      <c r="TV10" s="38"/>
      <c r="TW10" s="38"/>
      <c r="TX10" s="38"/>
      <c r="TY10" s="38"/>
      <c r="TZ10" s="38"/>
      <c r="UA10" s="38"/>
      <c r="UB10" s="38"/>
      <c r="UC10" s="38"/>
      <c r="UD10" s="38"/>
      <c r="UE10" s="38"/>
      <c r="UF10" s="38"/>
      <c r="UG10" s="38"/>
      <c r="UH10" s="38"/>
      <c r="UI10" s="38"/>
      <c r="UJ10" s="38"/>
      <c r="UK10" s="38"/>
      <c r="UL10" s="38"/>
      <c r="UM10" s="38"/>
      <c r="UN10" s="38"/>
      <c r="UO10" s="38"/>
      <c r="UP10" s="38"/>
      <c r="UQ10" s="38"/>
      <c r="UR10" s="38"/>
      <c r="US10" s="38"/>
      <c r="UT10" s="38"/>
      <c r="UU10" s="38"/>
      <c r="UV10" s="38"/>
      <c r="UW10" s="38"/>
      <c r="UX10" s="38"/>
      <c r="UY10" s="38"/>
      <c r="UZ10" s="38"/>
      <c r="VA10" s="38"/>
      <c r="VB10" s="38"/>
      <c r="VC10" s="38"/>
      <c r="VD10" s="38"/>
      <c r="VE10" s="38"/>
      <c r="VF10" s="38"/>
      <c r="VG10" s="38"/>
      <c r="VH10" s="38"/>
      <c r="VI10" s="38"/>
      <c r="VJ10" s="38"/>
      <c r="VK10" s="38"/>
      <c r="VL10" s="38"/>
      <c r="VM10" s="38"/>
      <c r="VN10" s="38"/>
      <c r="VO10" s="38"/>
      <c r="VP10" s="38"/>
      <c r="VQ10" s="38"/>
      <c r="VR10" s="38"/>
      <c r="VS10" s="38"/>
      <c r="VT10" s="38"/>
      <c r="VU10" s="38"/>
      <c r="VV10" s="38"/>
      <c r="VW10" s="38"/>
      <c r="VX10" s="38"/>
      <c r="VY10" s="38"/>
      <c r="VZ10" s="38"/>
      <c r="WA10" s="38"/>
      <c r="WB10" s="38"/>
      <c r="WC10" s="38"/>
      <c r="WD10" s="38"/>
      <c r="WE10" s="38"/>
      <c r="WF10" s="38"/>
      <c r="WG10" s="38"/>
      <c r="WH10" s="38"/>
      <c r="WI10" s="38"/>
      <c r="WJ10" s="38"/>
      <c r="WK10" s="38"/>
      <c r="WL10" s="38"/>
      <c r="WM10" s="38"/>
      <c r="WN10" s="38"/>
      <c r="WO10" s="38"/>
      <c r="WP10" s="38"/>
      <c r="WQ10" s="38"/>
      <c r="WR10" s="38"/>
      <c r="WS10" s="38"/>
      <c r="WT10" s="38"/>
      <c r="WU10" s="38"/>
      <c r="WV10" s="38"/>
      <c r="WW10" s="38"/>
      <c r="WX10" s="38"/>
      <c r="WY10" s="38"/>
      <c r="WZ10" s="38"/>
      <c r="XA10" s="38"/>
      <c r="XB10" s="38"/>
      <c r="XC10" s="38"/>
      <c r="XD10" s="38"/>
      <c r="XE10" s="38"/>
      <c r="XF10" s="38"/>
      <c r="XG10" s="38"/>
      <c r="XH10" s="38"/>
      <c r="XI10" s="38"/>
      <c r="XJ10" s="38"/>
      <c r="XK10" s="38"/>
      <c r="XL10" s="38"/>
      <c r="XM10" s="38"/>
      <c r="XN10" s="38"/>
      <c r="XO10" s="38"/>
      <c r="XP10" s="38"/>
      <c r="XQ10" s="38"/>
      <c r="XR10" s="38"/>
      <c r="XS10" s="38"/>
      <c r="XT10" s="38"/>
      <c r="XU10" s="38"/>
      <c r="XV10" s="38"/>
      <c r="XW10" s="38"/>
      <c r="XX10" s="38"/>
      <c r="XY10" s="38"/>
      <c r="XZ10" s="38"/>
      <c r="YA10" s="38"/>
      <c r="YB10" s="38"/>
      <c r="YC10" s="38"/>
      <c r="YD10" s="38"/>
      <c r="YE10" s="38"/>
      <c r="YF10" s="38"/>
      <c r="YG10" s="38"/>
      <c r="YH10" s="38"/>
      <c r="YI10" s="38"/>
      <c r="YJ10" s="38"/>
      <c r="YK10" s="38"/>
      <c r="YL10" s="38"/>
      <c r="YM10" s="38"/>
      <c r="YN10" s="38"/>
      <c r="YO10" s="38"/>
      <c r="YP10" s="38"/>
      <c r="YQ10" s="38"/>
      <c r="YR10" s="38"/>
      <c r="YS10" s="38"/>
      <c r="YT10" s="38"/>
      <c r="YU10" s="38"/>
      <c r="YV10" s="38"/>
      <c r="YW10" s="38"/>
      <c r="YX10" s="38"/>
      <c r="YY10" s="38"/>
      <c r="YZ10" s="38"/>
      <c r="ZA10" s="38"/>
      <c r="ZB10" s="38"/>
      <c r="ZC10" s="38"/>
      <c r="ZD10" s="38"/>
      <c r="ZE10" s="38"/>
      <c r="ZF10" s="38"/>
      <c r="ZG10" s="38"/>
      <c r="ZH10" s="38"/>
      <c r="ZI10" s="38"/>
      <c r="ZJ10" s="38"/>
      <c r="ZK10" s="38"/>
      <c r="ZL10" s="38"/>
      <c r="ZM10" s="38"/>
      <c r="ZN10" s="38"/>
      <c r="ZO10" s="38"/>
      <c r="ZP10" s="38"/>
      <c r="ZQ10" s="38"/>
      <c r="ZR10" s="38"/>
      <c r="ZS10" s="38"/>
      <c r="ZT10" s="38"/>
      <c r="ZU10" s="38"/>
      <c r="ZV10" s="38"/>
      <c r="ZW10" s="38"/>
      <c r="ZX10" s="38"/>
      <c r="ZY10" s="38"/>
      <c r="ZZ10" s="38"/>
      <c r="AAA10" s="38"/>
      <c r="AAB10" s="38"/>
      <c r="AAC10" s="38"/>
      <c r="AAD10" s="38"/>
      <c r="AAE10" s="38"/>
      <c r="AAF10" s="38"/>
      <c r="AAG10" s="38"/>
      <c r="AAH10" s="38"/>
      <c r="AAI10" s="38"/>
      <c r="AAJ10" s="38"/>
      <c r="AAK10" s="38"/>
      <c r="AAL10" s="38"/>
      <c r="AAM10" s="38"/>
      <c r="AAN10" s="38"/>
      <c r="AAO10" s="38"/>
      <c r="AAP10" s="38"/>
      <c r="AAQ10" s="38"/>
      <c r="AAR10" s="38"/>
      <c r="AAS10" s="38"/>
      <c r="AAT10" s="38"/>
      <c r="AAU10" s="38"/>
      <c r="AAV10" s="38"/>
      <c r="AAW10" s="38"/>
      <c r="AAX10" s="38"/>
      <c r="AAY10" s="38"/>
      <c r="AAZ10" s="38"/>
      <c r="ABA10" s="38"/>
      <c r="ABB10" s="38"/>
      <c r="ABC10" s="38"/>
      <c r="ABD10" s="38"/>
      <c r="ABE10" s="38"/>
      <c r="ABF10" s="38"/>
      <c r="ABG10" s="38"/>
      <c r="ABH10" s="38"/>
      <c r="ABI10" s="38"/>
      <c r="ABJ10" s="38"/>
      <c r="ABK10" s="38"/>
      <c r="ABL10" s="38"/>
      <c r="ABM10" s="38"/>
      <c r="ABN10" s="38"/>
      <c r="ABO10" s="38"/>
      <c r="ABP10" s="38"/>
      <c r="ABQ10" s="38"/>
      <c r="ABR10" s="38"/>
      <c r="ABS10" s="38"/>
      <c r="ABT10" s="38"/>
      <c r="ABU10" s="38"/>
      <c r="ABV10" s="38"/>
      <c r="ABW10" s="38"/>
      <c r="ABX10" s="38"/>
      <c r="ABY10" s="38"/>
      <c r="ABZ10" s="38"/>
      <c r="ACA10" s="38"/>
      <c r="ACB10" s="38"/>
      <c r="ACC10" s="38"/>
      <c r="ACD10" s="38"/>
      <c r="ACE10" s="38"/>
      <c r="ACF10" s="38"/>
      <c r="ACG10" s="38"/>
      <c r="ACH10" s="38"/>
      <c r="ACI10" s="38"/>
      <c r="ACJ10" s="38"/>
      <c r="ACK10" s="38"/>
      <c r="ACL10" s="38"/>
      <c r="ACM10" s="38"/>
      <c r="ACN10" s="38"/>
      <c r="ACO10" s="38"/>
      <c r="ACP10" s="38"/>
      <c r="ACQ10" s="38"/>
      <c r="ACR10" s="38"/>
      <c r="ACS10" s="38"/>
      <c r="ACT10" s="38"/>
      <c r="ACU10" s="38"/>
      <c r="ACV10" s="38"/>
      <c r="ACW10" s="38"/>
      <c r="ACX10" s="38"/>
      <c r="ACY10" s="38"/>
      <c r="ACZ10" s="38"/>
      <c r="ADA10" s="38"/>
      <c r="ADB10" s="38"/>
      <c r="ADC10" s="38"/>
      <c r="ADD10" s="38"/>
      <c r="ADE10" s="38"/>
      <c r="ADF10" s="38"/>
      <c r="ADG10" s="38"/>
      <c r="ADH10" s="38"/>
      <c r="ADI10" s="38"/>
      <c r="ADJ10" s="38"/>
      <c r="ADK10" s="38"/>
      <c r="ADL10" s="38"/>
      <c r="ADM10" s="38"/>
      <c r="ADN10" s="38"/>
      <c r="ADO10" s="38"/>
      <c r="ADP10" s="38"/>
      <c r="ADQ10" s="38"/>
      <c r="ADR10" s="38"/>
      <c r="ADS10" s="38"/>
      <c r="ADT10" s="38"/>
      <c r="ADU10" s="38"/>
      <c r="ADV10" s="38"/>
      <c r="ADW10" s="38"/>
      <c r="ADX10" s="38"/>
      <c r="ADY10" s="38"/>
      <c r="ADZ10" s="38"/>
      <c r="AEA10" s="38"/>
      <c r="AEB10" s="38"/>
      <c r="AEC10" s="38"/>
      <c r="AED10" s="38"/>
      <c r="AEE10" s="38"/>
      <c r="AEF10" s="38"/>
      <c r="AEG10" s="38"/>
      <c r="AEH10" s="38"/>
      <c r="AEI10" s="38"/>
      <c r="AEJ10" s="38"/>
      <c r="AEK10" s="38"/>
      <c r="AEL10" s="38"/>
      <c r="AEM10" s="38"/>
      <c r="AEN10" s="38"/>
      <c r="AEO10" s="38"/>
      <c r="AEP10" s="38"/>
      <c r="AEQ10" s="38"/>
      <c r="AER10" s="38"/>
      <c r="AES10" s="38"/>
      <c r="AET10" s="38"/>
      <c r="AEU10" s="38"/>
      <c r="AEV10" s="38"/>
      <c r="AEW10" s="38"/>
      <c r="AEX10" s="38"/>
      <c r="AEY10" s="38"/>
      <c r="AEZ10" s="38"/>
      <c r="AFA10" s="38"/>
      <c r="AFB10" s="38"/>
      <c r="AFC10" s="38"/>
      <c r="AFD10" s="38"/>
      <c r="AFE10" s="38"/>
      <c r="AFF10" s="38"/>
      <c r="AFG10" s="38"/>
      <c r="AFH10" s="38"/>
      <c r="AFI10" s="38"/>
      <c r="AFJ10" s="38"/>
      <c r="AFK10" s="38"/>
      <c r="AFL10" s="38"/>
      <c r="AFM10" s="38"/>
      <c r="AFN10" s="38"/>
      <c r="AFO10" s="38"/>
      <c r="AFP10" s="38"/>
      <c r="AFQ10" s="38"/>
      <c r="AFR10" s="38"/>
      <c r="AFS10" s="38"/>
      <c r="AFT10" s="38"/>
      <c r="AFU10" s="38"/>
      <c r="AFV10" s="38"/>
      <c r="AFW10" s="38"/>
      <c r="AFX10" s="38"/>
      <c r="AFY10" s="38"/>
      <c r="AFZ10" s="38"/>
      <c r="AGA10" s="38"/>
      <c r="AGB10" s="38"/>
      <c r="AGC10" s="38"/>
      <c r="AGD10" s="38"/>
      <c r="AGE10" s="38"/>
      <c r="AGF10" s="38"/>
      <c r="AGG10" s="38"/>
      <c r="AGH10" s="38"/>
      <c r="AGI10" s="38"/>
      <c r="AGJ10" s="38"/>
      <c r="AGK10" s="38"/>
      <c r="AGL10" s="38"/>
      <c r="AGM10" s="38"/>
      <c r="AGN10" s="38"/>
      <c r="AGO10" s="38"/>
      <c r="AGP10" s="38"/>
      <c r="AGQ10" s="38"/>
      <c r="AGR10" s="38"/>
      <c r="AGS10" s="38"/>
      <c r="AGT10" s="38"/>
      <c r="AGU10" s="38"/>
      <c r="AGV10" s="38"/>
      <c r="AGW10" s="38"/>
      <c r="AGX10" s="38"/>
      <c r="AGY10" s="38"/>
      <c r="AGZ10" s="38"/>
      <c r="AHA10" s="38"/>
      <c r="AHB10" s="38"/>
      <c r="AHC10" s="38"/>
      <c r="AHD10" s="38"/>
      <c r="AHE10" s="38"/>
      <c r="AHF10" s="38"/>
      <c r="AHG10" s="38"/>
      <c r="AHH10" s="38"/>
      <c r="AHI10" s="38"/>
      <c r="AHJ10" s="38"/>
      <c r="AHK10" s="38"/>
      <c r="AHL10" s="38"/>
      <c r="AHM10" s="38"/>
      <c r="AHN10" s="38"/>
      <c r="AHO10" s="38"/>
      <c r="AHP10" s="38"/>
      <c r="AHQ10" s="38"/>
      <c r="AHR10" s="38"/>
      <c r="AHS10" s="38"/>
      <c r="AHT10" s="38"/>
      <c r="AHU10" s="38"/>
      <c r="AHV10" s="38"/>
      <c r="AHW10" s="38"/>
      <c r="AHX10" s="38"/>
      <c r="AHY10" s="38"/>
      <c r="AHZ10" s="38"/>
      <c r="AIA10" s="38"/>
      <c r="AIB10" s="38"/>
      <c r="AIC10" s="38"/>
      <c r="AID10" s="38"/>
      <c r="AIE10" s="38"/>
      <c r="AIF10" s="38"/>
      <c r="AIG10" s="38"/>
      <c r="AIH10" s="38"/>
      <c r="AII10" s="38"/>
      <c r="AIJ10" s="38"/>
      <c r="AIK10" s="38"/>
      <c r="AIL10" s="38"/>
      <c r="AIM10" s="38"/>
      <c r="AIN10" s="38"/>
      <c r="AIO10" s="38"/>
      <c r="AIP10" s="38"/>
      <c r="AIQ10" s="38"/>
      <c r="AIR10" s="38"/>
      <c r="AIS10" s="38"/>
      <c r="AIT10" s="38"/>
      <c r="AIU10" s="38"/>
      <c r="AIV10" s="38"/>
      <c r="AIW10" s="38"/>
      <c r="AIX10" s="38"/>
      <c r="AIY10" s="38"/>
      <c r="AIZ10" s="38"/>
      <c r="AJA10" s="38"/>
      <c r="AJB10" s="38"/>
      <c r="AJC10" s="38"/>
      <c r="AJD10" s="38"/>
      <c r="AJE10" s="38"/>
      <c r="AJF10" s="38"/>
      <c r="AJG10" s="38"/>
      <c r="AJH10" s="38"/>
      <c r="AJI10" s="38"/>
      <c r="AJJ10" s="38"/>
      <c r="AJK10" s="38"/>
      <c r="AJL10" s="38"/>
      <c r="AJM10" s="38"/>
      <c r="AJN10" s="38"/>
      <c r="AJO10" s="38"/>
      <c r="AJP10" s="38"/>
      <c r="AJQ10" s="38"/>
      <c r="AJR10" s="38"/>
      <c r="AJS10" s="38"/>
      <c r="AJT10" s="38"/>
      <c r="AJU10" s="38"/>
      <c r="AJV10" s="38"/>
      <c r="AJW10" s="38"/>
      <c r="AJX10" s="38"/>
      <c r="AJY10" s="38"/>
      <c r="AJZ10" s="38"/>
      <c r="AKA10" s="38"/>
      <c r="AKB10" s="38"/>
      <c r="AKC10" s="38"/>
      <c r="AKD10" s="38"/>
      <c r="AKE10" s="38"/>
      <c r="AKF10" s="38"/>
      <c r="AKG10" s="38"/>
      <c r="AKH10" s="38"/>
      <c r="AKI10" s="38"/>
      <c r="AKJ10" s="38"/>
      <c r="AKK10" s="38"/>
      <c r="AKL10" s="38"/>
      <c r="AKM10" s="38"/>
      <c r="AKN10" s="38"/>
      <c r="AKO10" s="38"/>
      <c r="AKP10" s="38"/>
      <c r="AKQ10" s="38"/>
      <c r="AKR10" s="38"/>
      <c r="AKS10" s="38"/>
      <c r="AKT10" s="38"/>
      <c r="AKU10" s="38"/>
      <c r="AKV10" s="38"/>
      <c r="AKW10" s="38"/>
      <c r="AKX10" s="38"/>
      <c r="AKY10" s="38"/>
      <c r="AKZ10" s="38"/>
      <c r="ALA10" s="38"/>
      <c r="ALB10" s="38"/>
      <c r="ALC10" s="38"/>
      <c r="ALD10" s="38"/>
      <c r="ALE10" s="38"/>
      <c r="ALF10" s="38"/>
      <c r="ALG10" s="38"/>
      <c r="ALH10" s="38"/>
      <c r="ALI10" s="38"/>
      <c r="ALJ10" s="38"/>
      <c r="ALK10" s="38"/>
      <c r="ALL10" s="38"/>
      <c r="ALM10" s="38"/>
      <c r="ALN10" s="38"/>
      <c r="ALO10" s="38"/>
      <c r="ALP10" s="38"/>
      <c r="ALQ10" s="38"/>
      <c r="ALR10" s="38"/>
      <c r="ALS10" s="38"/>
      <c r="ALT10" s="38"/>
      <c r="ALU10" s="38"/>
      <c r="ALV10" s="38"/>
      <c r="ALW10" s="38"/>
      <c r="ALX10" s="38"/>
      <c r="ALY10" s="38"/>
      <c r="ALZ10" s="38"/>
      <c r="AMA10" s="38"/>
      <c r="AMB10" s="38"/>
      <c r="AMC10" s="38"/>
      <c r="AMD10" s="38"/>
      <c r="AME10" s="38"/>
      <c r="AMF10" s="38"/>
      <c r="AMG10" s="38"/>
      <c r="AMH10" s="38"/>
      <c r="AMI10" s="38"/>
      <c r="AMJ10" s="38"/>
      <c r="AMK10" s="38"/>
      <c r="AML10" s="38"/>
      <c r="AMM10" s="38"/>
      <c r="AMN10" s="38"/>
      <c r="AMO10" s="38"/>
      <c r="AMP10" s="38"/>
      <c r="AMQ10" s="38"/>
      <c r="AMR10" s="38"/>
      <c r="AMS10" s="39"/>
    </row>
    <row r="11" spans="1:1033" x14ac:dyDescent="0.2">
      <c r="A11" s="39" t="s">
        <v>293</v>
      </c>
      <c r="B11" s="38" t="s">
        <v>302</v>
      </c>
      <c r="C11" s="39" t="s">
        <v>293</v>
      </c>
      <c r="D11" s="39" t="s">
        <v>293</v>
      </c>
      <c r="G11" s="38">
        <v>36</v>
      </c>
      <c r="H11" s="38" t="s">
        <v>281</v>
      </c>
      <c r="J11" s="38">
        <v>120</v>
      </c>
      <c r="K11" s="38" t="s">
        <v>282</v>
      </c>
    </row>
    <row r="12" spans="1:1033" x14ac:dyDescent="0.2">
      <c r="A12" s="39" t="s">
        <v>304</v>
      </c>
      <c r="B12" s="39" t="s">
        <v>302</v>
      </c>
      <c r="C12" s="39" t="s">
        <v>279</v>
      </c>
      <c r="D12" s="39" t="s">
        <v>279</v>
      </c>
      <c r="E12" s="39"/>
      <c r="F12" s="39"/>
      <c r="G12" s="38">
        <v>36</v>
      </c>
      <c r="H12" s="39" t="s">
        <v>281</v>
      </c>
      <c r="I12" s="39"/>
      <c r="J12" s="38">
        <v>120</v>
      </c>
      <c r="K12" s="39" t="s">
        <v>282</v>
      </c>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39"/>
      <c r="CX12" s="39"/>
      <c r="CY12" s="39"/>
      <c r="CZ12" s="39"/>
      <c r="DA12" s="39"/>
      <c r="DB12" s="39"/>
      <c r="DC12" s="39"/>
      <c r="DD12" s="39"/>
      <c r="DE12" s="39"/>
      <c r="DF12" s="39"/>
      <c r="DG12" s="39"/>
      <c r="DH12" s="39"/>
      <c r="DI12" s="39"/>
      <c r="DJ12" s="39"/>
      <c r="DK12" s="39"/>
      <c r="DL12" s="39"/>
      <c r="DM12" s="39"/>
      <c r="DN12" s="39"/>
      <c r="DO12" s="39"/>
      <c r="DP12" s="39"/>
      <c r="DQ12" s="39"/>
      <c r="DR12" s="39"/>
      <c r="DS12" s="39"/>
      <c r="DT12" s="39"/>
      <c r="DU12" s="39"/>
      <c r="DV12" s="39"/>
      <c r="DW12" s="39"/>
      <c r="DX12" s="39"/>
      <c r="DY12" s="39"/>
      <c r="DZ12" s="39"/>
      <c r="EA12" s="39"/>
      <c r="EB12" s="39"/>
      <c r="EC12" s="39"/>
      <c r="ED12" s="39"/>
      <c r="EE12" s="39"/>
      <c r="EF12" s="39"/>
      <c r="EG12" s="39"/>
      <c r="EH12" s="39"/>
      <c r="EI12" s="39"/>
      <c r="EJ12" s="39"/>
      <c r="EK12" s="39"/>
      <c r="EL12" s="39"/>
      <c r="EM12" s="39"/>
      <c r="EN12" s="39"/>
      <c r="EO12" s="39"/>
      <c r="EP12" s="39"/>
      <c r="EQ12" s="39"/>
      <c r="ER12" s="39"/>
      <c r="ES12" s="39"/>
      <c r="ET12" s="39"/>
      <c r="EU12" s="39"/>
      <c r="EV12" s="39"/>
      <c r="EW12" s="39"/>
      <c r="EX12" s="39"/>
      <c r="EY12" s="39"/>
      <c r="EZ12" s="39"/>
      <c r="FA12" s="39"/>
      <c r="FB12" s="39"/>
      <c r="FC12" s="39"/>
      <c r="FD12" s="39"/>
      <c r="FE12" s="39"/>
      <c r="FF12" s="39"/>
      <c r="FG12" s="39"/>
      <c r="FH12" s="39"/>
      <c r="FI12" s="39"/>
      <c r="FJ12" s="39"/>
      <c r="FK12" s="39"/>
      <c r="FL12" s="39"/>
      <c r="FM12" s="39"/>
      <c r="FN12" s="39"/>
      <c r="FO12" s="39"/>
      <c r="FP12" s="39"/>
      <c r="FQ12" s="39"/>
      <c r="FR12" s="39"/>
      <c r="FS12" s="39"/>
      <c r="FT12" s="39"/>
      <c r="FU12" s="39"/>
      <c r="FV12" s="39"/>
      <c r="FW12" s="39"/>
      <c r="FX12" s="39"/>
      <c r="FY12" s="39"/>
      <c r="FZ12" s="39"/>
      <c r="GA12" s="39"/>
      <c r="GB12" s="39"/>
      <c r="GC12" s="39"/>
      <c r="GD12" s="39"/>
      <c r="GE12" s="39"/>
      <c r="GF12" s="39"/>
      <c r="GG12" s="39"/>
      <c r="GH12" s="39"/>
      <c r="GI12" s="39"/>
      <c r="GJ12" s="39"/>
      <c r="GK12" s="39"/>
      <c r="GL12" s="39"/>
      <c r="GM12" s="39"/>
      <c r="GN12" s="39"/>
      <c r="GO12" s="39"/>
      <c r="GP12" s="39"/>
      <c r="GQ12" s="39"/>
      <c r="GR12" s="39"/>
      <c r="GS12" s="39"/>
      <c r="GT12" s="39"/>
      <c r="GU12" s="39"/>
      <c r="GV12" s="39"/>
      <c r="GW12" s="39"/>
      <c r="GX12" s="39"/>
      <c r="GY12" s="39"/>
      <c r="GZ12" s="39"/>
      <c r="HA12" s="39"/>
      <c r="HB12" s="39"/>
      <c r="HC12" s="39"/>
      <c r="HD12" s="39"/>
      <c r="HE12" s="39"/>
      <c r="HF12" s="39"/>
      <c r="HG12" s="39"/>
      <c r="HH12" s="39"/>
      <c r="HI12" s="39"/>
      <c r="HJ12" s="39"/>
      <c r="HK12" s="39"/>
      <c r="HL12" s="39"/>
      <c r="HM12" s="39"/>
      <c r="HN12" s="39"/>
      <c r="HO12" s="39"/>
      <c r="HP12" s="39"/>
      <c r="HQ12" s="39"/>
      <c r="HR12" s="39"/>
      <c r="HS12" s="39"/>
      <c r="HT12" s="39"/>
      <c r="HU12" s="39"/>
      <c r="HV12" s="39"/>
      <c r="HW12" s="39"/>
      <c r="HX12" s="39"/>
      <c r="HY12" s="39"/>
      <c r="HZ12" s="39"/>
      <c r="IA12" s="39"/>
      <c r="IB12" s="39"/>
      <c r="IC12" s="39"/>
      <c r="ID12" s="39"/>
      <c r="IE12" s="39"/>
      <c r="IF12" s="39"/>
      <c r="IG12" s="39"/>
      <c r="IH12" s="39"/>
      <c r="II12" s="39"/>
      <c r="IJ12" s="39"/>
      <c r="IK12" s="39"/>
      <c r="IL12" s="39"/>
      <c r="IM12" s="39"/>
      <c r="IN12" s="39"/>
      <c r="IO12" s="39"/>
      <c r="IP12" s="39"/>
      <c r="IQ12" s="39"/>
      <c r="IR12" s="39"/>
      <c r="IS12" s="39"/>
      <c r="IT12" s="39"/>
      <c r="IU12" s="39"/>
      <c r="IV12" s="39"/>
      <c r="IW12" s="39"/>
      <c r="IX12" s="39"/>
      <c r="IY12" s="39"/>
      <c r="IZ12" s="39"/>
      <c r="JA12" s="39"/>
      <c r="JB12" s="39"/>
      <c r="JC12" s="39"/>
      <c r="JD12" s="39"/>
      <c r="JE12" s="39"/>
      <c r="JF12" s="39"/>
      <c r="JG12" s="39"/>
      <c r="JH12" s="39"/>
      <c r="JI12" s="39"/>
      <c r="JJ12" s="39"/>
      <c r="JK12" s="39"/>
      <c r="JL12" s="39"/>
      <c r="JM12" s="39"/>
      <c r="JN12" s="39"/>
      <c r="JO12" s="39"/>
      <c r="JP12" s="39"/>
      <c r="JQ12" s="39"/>
      <c r="JR12" s="39"/>
      <c r="JS12" s="39"/>
      <c r="JT12" s="39"/>
      <c r="JU12" s="39"/>
      <c r="JV12" s="39"/>
      <c r="JW12" s="39"/>
      <c r="JX12" s="39"/>
      <c r="JY12" s="39"/>
      <c r="JZ12" s="39"/>
      <c r="KA12" s="39"/>
      <c r="KB12" s="39"/>
      <c r="KC12" s="39"/>
      <c r="KD12" s="39"/>
      <c r="KE12" s="39"/>
      <c r="KF12" s="39"/>
      <c r="KG12" s="39"/>
      <c r="KH12" s="39"/>
      <c r="KI12" s="39"/>
      <c r="KJ12" s="39"/>
      <c r="KK12" s="39"/>
      <c r="KL12" s="39"/>
      <c r="KM12" s="39"/>
      <c r="KN12" s="39"/>
      <c r="KO12" s="39"/>
      <c r="KP12" s="39"/>
      <c r="KQ12" s="39"/>
      <c r="KR12" s="39"/>
      <c r="KS12" s="39"/>
      <c r="KT12" s="39"/>
      <c r="KU12" s="39"/>
      <c r="KV12" s="39"/>
      <c r="KW12" s="39"/>
      <c r="KX12" s="39"/>
      <c r="KY12" s="39"/>
      <c r="KZ12" s="39"/>
      <c r="LA12" s="39"/>
      <c r="LB12" s="39"/>
      <c r="LC12" s="39"/>
      <c r="LD12" s="39"/>
      <c r="LE12" s="39"/>
      <c r="LF12" s="39"/>
      <c r="LG12" s="39"/>
      <c r="LH12" s="39"/>
      <c r="LI12" s="39"/>
      <c r="LJ12" s="39"/>
      <c r="LK12" s="39"/>
      <c r="LL12" s="39"/>
      <c r="LM12" s="39"/>
      <c r="LN12" s="39"/>
      <c r="LO12" s="39"/>
      <c r="LP12" s="39"/>
      <c r="LQ12" s="39"/>
      <c r="LR12" s="39"/>
      <c r="LS12" s="39"/>
      <c r="LT12" s="39"/>
      <c r="LU12" s="39"/>
      <c r="LV12" s="39"/>
      <c r="LW12" s="39"/>
      <c r="LX12" s="39"/>
      <c r="LY12" s="39"/>
      <c r="LZ12" s="39"/>
      <c r="MA12" s="39"/>
      <c r="MB12" s="39"/>
      <c r="MC12" s="39"/>
      <c r="MD12" s="39"/>
      <c r="ME12" s="39"/>
      <c r="MF12" s="39"/>
      <c r="MG12" s="39"/>
      <c r="MH12" s="39"/>
      <c r="MI12" s="39"/>
      <c r="MJ12" s="39"/>
      <c r="MK12" s="39"/>
      <c r="ML12" s="39"/>
      <c r="MM12" s="39"/>
      <c r="MN12" s="39"/>
      <c r="MO12" s="39"/>
      <c r="MP12" s="39"/>
      <c r="MQ12" s="39"/>
      <c r="MR12" s="39"/>
      <c r="MS12" s="39"/>
      <c r="MT12" s="39"/>
      <c r="MU12" s="39"/>
      <c r="MV12" s="39"/>
      <c r="MW12" s="39"/>
      <c r="MX12" s="39"/>
      <c r="MY12" s="39"/>
      <c r="MZ12" s="39"/>
      <c r="NA12" s="39"/>
      <c r="NB12" s="39"/>
      <c r="NC12" s="39"/>
      <c r="ND12" s="39"/>
      <c r="NE12" s="39"/>
      <c r="NF12" s="39"/>
      <c r="NG12" s="39"/>
      <c r="NH12" s="39"/>
      <c r="NI12" s="39"/>
      <c r="NJ12" s="39"/>
      <c r="NK12" s="39"/>
      <c r="NL12" s="39"/>
      <c r="NM12" s="39"/>
      <c r="NN12" s="39"/>
      <c r="NO12" s="39"/>
      <c r="NP12" s="39"/>
      <c r="NQ12" s="39"/>
      <c r="NR12" s="39"/>
      <c r="NS12" s="39"/>
      <c r="NT12" s="39"/>
      <c r="NU12" s="39"/>
      <c r="NV12" s="39"/>
      <c r="NW12" s="39"/>
      <c r="NX12" s="39"/>
      <c r="NY12" s="39"/>
      <c r="NZ12" s="39"/>
      <c r="OA12" s="39"/>
      <c r="OB12" s="39"/>
      <c r="OC12" s="39"/>
      <c r="OD12" s="39"/>
      <c r="OE12" s="39"/>
      <c r="OF12" s="39"/>
      <c r="OG12" s="39"/>
      <c r="OH12" s="39"/>
      <c r="OI12" s="39"/>
      <c r="OJ12" s="39"/>
      <c r="OK12" s="39"/>
      <c r="OL12" s="39"/>
      <c r="OM12" s="39"/>
      <c r="ON12" s="39"/>
      <c r="OO12" s="39"/>
      <c r="OP12" s="39"/>
      <c r="OQ12" s="39"/>
      <c r="OR12" s="39"/>
      <c r="OS12" s="39"/>
      <c r="OT12" s="39"/>
      <c r="OU12" s="39"/>
      <c r="OV12" s="39"/>
      <c r="OW12" s="39"/>
      <c r="OX12" s="39"/>
      <c r="OY12" s="39"/>
      <c r="OZ12" s="39"/>
      <c r="PA12" s="39"/>
      <c r="PB12" s="39"/>
      <c r="PC12" s="39"/>
      <c r="PD12" s="39"/>
      <c r="PE12" s="39"/>
      <c r="PF12" s="39"/>
      <c r="PG12" s="39"/>
      <c r="PH12" s="39"/>
      <c r="PI12" s="39"/>
      <c r="PJ12" s="39"/>
      <c r="PK12" s="39"/>
      <c r="PL12" s="39"/>
      <c r="PM12" s="39"/>
      <c r="PN12" s="39"/>
      <c r="PO12" s="39"/>
      <c r="PP12" s="39"/>
      <c r="PQ12" s="39"/>
      <c r="PR12" s="39"/>
      <c r="PS12" s="39"/>
      <c r="PT12" s="39"/>
      <c r="PU12" s="39"/>
      <c r="PV12" s="39"/>
      <c r="PW12" s="39"/>
      <c r="PX12" s="39"/>
      <c r="PY12" s="39"/>
      <c r="PZ12" s="39"/>
      <c r="QA12" s="39"/>
      <c r="QB12" s="39"/>
      <c r="QC12" s="39"/>
      <c r="QD12" s="39"/>
      <c r="QE12" s="39"/>
      <c r="QF12" s="39"/>
      <c r="QG12" s="39"/>
      <c r="QH12" s="39"/>
      <c r="QI12" s="39"/>
      <c r="QJ12" s="39"/>
      <c r="QK12" s="39"/>
      <c r="QL12" s="39"/>
      <c r="QM12" s="39"/>
      <c r="QN12" s="39"/>
      <c r="QO12" s="39"/>
      <c r="QP12" s="39"/>
      <c r="QQ12" s="39"/>
      <c r="QR12" s="39"/>
      <c r="QS12" s="39"/>
      <c r="QT12" s="39"/>
      <c r="QU12" s="39"/>
      <c r="QV12" s="39"/>
      <c r="QW12" s="39"/>
      <c r="QX12" s="39"/>
      <c r="QY12" s="39"/>
      <c r="QZ12" s="39"/>
      <c r="RA12" s="39"/>
      <c r="RB12" s="39"/>
      <c r="RC12" s="39"/>
      <c r="RD12" s="39"/>
      <c r="RE12" s="39"/>
      <c r="RF12" s="39"/>
      <c r="RG12" s="39"/>
      <c r="RH12" s="39"/>
      <c r="RI12" s="39"/>
      <c r="RJ12" s="39"/>
      <c r="RK12" s="39"/>
      <c r="RL12" s="39"/>
      <c r="RM12" s="39"/>
      <c r="RN12" s="39"/>
      <c r="RO12" s="39"/>
      <c r="RP12" s="39"/>
      <c r="RQ12" s="39"/>
      <c r="RR12" s="39"/>
      <c r="RS12" s="39"/>
      <c r="RT12" s="39"/>
      <c r="RU12" s="39"/>
      <c r="RV12" s="39"/>
      <c r="RW12" s="39"/>
      <c r="RX12" s="39"/>
      <c r="RY12" s="39"/>
      <c r="RZ12" s="39"/>
      <c r="SA12" s="39"/>
      <c r="SB12" s="39"/>
      <c r="SC12" s="39"/>
      <c r="SD12" s="39"/>
      <c r="SE12" s="39"/>
      <c r="SF12" s="39"/>
      <c r="SG12" s="39"/>
      <c r="SH12" s="39"/>
      <c r="SI12" s="39"/>
      <c r="SJ12" s="39"/>
      <c r="SK12" s="39"/>
      <c r="SL12" s="39"/>
      <c r="SM12" s="39"/>
      <c r="SN12" s="39"/>
      <c r="SO12" s="39"/>
      <c r="SP12" s="39"/>
      <c r="SQ12" s="39"/>
      <c r="SR12" s="39"/>
      <c r="SS12" s="39"/>
      <c r="ST12" s="39"/>
      <c r="SU12" s="39"/>
      <c r="SV12" s="39"/>
      <c r="SW12" s="39"/>
      <c r="SX12" s="39"/>
      <c r="SY12" s="39"/>
      <c r="SZ12" s="39"/>
      <c r="TA12" s="39"/>
      <c r="TB12" s="39"/>
      <c r="TC12" s="39"/>
      <c r="TD12" s="39"/>
      <c r="TE12" s="39"/>
      <c r="TF12" s="39"/>
      <c r="TG12" s="39"/>
      <c r="TH12" s="39"/>
      <c r="TI12" s="39"/>
      <c r="TJ12" s="39"/>
      <c r="TK12" s="39"/>
      <c r="TL12" s="39"/>
      <c r="TM12" s="39"/>
      <c r="TN12" s="39"/>
      <c r="TO12" s="39"/>
      <c r="TP12" s="39"/>
      <c r="TQ12" s="39"/>
      <c r="TR12" s="39"/>
      <c r="TS12" s="39"/>
      <c r="TT12" s="39"/>
      <c r="TU12" s="39"/>
      <c r="TV12" s="39"/>
      <c r="TW12" s="39"/>
      <c r="TX12" s="39"/>
      <c r="TY12" s="39"/>
      <c r="TZ12" s="39"/>
      <c r="UA12" s="39"/>
      <c r="UB12" s="39"/>
      <c r="UC12" s="39"/>
      <c r="UD12" s="39"/>
      <c r="UE12" s="39"/>
      <c r="UF12" s="39"/>
      <c r="UG12" s="39"/>
      <c r="UH12" s="39"/>
      <c r="UI12" s="39"/>
      <c r="UJ12" s="39"/>
      <c r="UK12" s="39"/>
      <c r="UL12" s="39"/>
      <c r="UM12" s="39"/>
      <c r="UN12" s="39"/>
      <c r="UO12" s="39"/>
      <c r="UP12" s="39"/>
      <c r="UQ12" s="39"/>
      <c r="UR12" s="39"/>
      <c r="US12" s="39"/>
      <c r="UT12" s="39"/>
      <c r="UU12" s="39"/>
      <c r="UV12" s="39"/>
      <c r="UW12" s="39"/>
      <c r="UX12" s="39"/>
      <c r="UY12" s="39"/>
      <c r="UZ12" s="39"/>
      <c r="VA12" s="39"/>
      <c r="VB12" s="39"/>
      <c r="VC12" s="39"/>
      <c r="VD12" s="39"/>
      <c r="VE12" s="39"/>
      <c r="VF12" s="39"/>
      <c r="VG12" s="39"/>
      <c r="VH12" s="39"/>
      <c r="VI12" s="39"/>
      <c r="VJ12" s="39"/>
      <c r="VK12" s="39"/>
      <c r="VL12" s="39"/>
      <c r="VM12" s="39"/>
      <c r="VN12" s="39"/>
      <c r="VO12" s="39"/>
      <c r="VP12" s="39"/>
      <c r="VQ12" s="39"/>
      <c r="VR12" s="39"/>
      <c r="VS12" s="39"/>
      <c r="VT12" s="39"/>
      <c r="VU12" s="39"/>
      <c r="VV12" s="39"/>
      <c r="VW12" s="39"/>
      <c r="VX12" s="39"/>
      <c r="VY12" s="39"/>
      <c r="VZ12" s="39"/>
      <c r="WA12" s="39"/>
      <c r="WB12" s="39"/>
      <c r="WC12" s="39"/>
      <c r="WD12" s="39"/>
      <c r="WE12" s="39"/>
      <c r="WF12" s="39"/>
      <c r="WG12" s="39"/>
      <c r="WH12" s="39"/>
      <c r="WI12" s="39"/>
      <c r="WJ12" s="39"/>
      <c r="WK12" s="39"/>
      <c r="WL12" s="39"/>
      <c r="WM12" s="39"/>
      <c r="WN12" s="39"/>
      <c r="WO12" s="39"/>
      <c r="WP12" s="39"/>
      <c r="WQ12" s="39"/>
      <c r="WR12" s="39"/>
      <c r="WS12" s="39"/>
      <c r="WT12" s="39"/>
      <c r="WU12" s="39"/>
      <c r="WV12" s="39"/>
      <c r="WW12" s="39"/>
      <c r="WX12" s="39"/>
      <c r="WY12" s="39"/>
      <c r="WZ12" s="39"/>
      <c r="XA12" s="39"/>
      <c r="XB12" s="39"/>
      <c r="XC12" s="39"/>
      <c r="XD12" s="39"/>
      <c r="XE12" s="39"/>
      <c r="XF12" s="39"/>
      <c r="XG12" s="39"/>
      <c r="XH12" s="39"/>
      <c r="XI12" s="39"/>
      <c r="XJ12" s="39"/>
      <c r="XK12" s="39"/>
      <c r="XL12" s="39"/>
      <c r="XM12" s="39"/>
      <c r="XN12" s="39"/>
      <c r="XO12" s="39"/>
      <c r="XP12" s="39"/>
      <c r="XQ12" s="39"/>
      <c r="XR12" s="39"/>
      <c r="XS12" s="39"/>
      <c r="XT12" s="39"/>
      <c r="XU12" s="39"/>
      <c r="XV12" s="39"/>
      <c r="XW12" s="39"/>
      <c r="XX12" s="39"/>
      <c r="XY12" s="39"/>
      <c r="XZ12" s="39"/>
      <c r="YA12" s="39"/>
      <c r="YB12" s="39"/>
      <c r="YC12" s="39"/>
      <c r="YD12" s="39"/>
      <c r="YE12" s="39"/>
      <c r="YF12" s="39"/>
      <c r="YG12" s="39"/>
      <c r="YH12" s="39"/>
      <c r="YI12" s="39"/>
      <c r="YJ12" s="39"/>
      <c r="YK12" s="39"/>
      <c r="YL12" s="39"/>
      <c r="YM12" s="39"/>
      <c r="YN12" s="39"/>
      <c r="YO12" s="39"/>
      <c r="YP12" s="39"/>
      <c r="YQ12" s="39"/>
      <c r="YR12" s="39"/>
      <c r="YS12" s="39"/>
      <c r="YT12" s="39"/>
      <c r="YU12" s="39"/>
      <c r="YV12" s="39"/>
      <c r="YW12" s="39"/>
      <c r="YX12" s="39"/>
      <c r="YY12" s="39"/>
      <c r="YZ12" s="39"/>
      <c r="ZA12" s="39"/>
      <c r="ZB12" s="39"/>
      <c r="ZC12" s="39"/>
      <c r="ZD12" s="39"/>
      <c r="ZE12" s="39"/>
      <c r="ZF12" s="39"/>
      <c r="ZG12" s="39"/>
      <c r="ZH12" s="39"/>
      <c r="ZI12" s="39"/>
      <c r="ZJ12" s="39"/>
      <c r="ZK12" s="39"/>
      <c r="ZL12" s="39"/>
      <c r="ZM12" s="39"/>
      <c r="ZN12" s="39"/>
      <c r="ZO12" s="39"/>
      <c r="ZP12" s="39"/>
      <c r="ZQ12" s="39"/>
      <c r="ZR12" s="39"/>
      <c r="ZS12" s="39"/>
      <c r="ZT12" s="39"/>
      <c r="ZU12" s="39"/>
      <c r="ZV12" s="39"/>
      <c r="ZW12" s="39"/>
      <c r="ZX12" s="39"/>
      <c r="ZY12" s="39"/>
      <c r="ZZ12" s="39"/>
      <c r="AAA12" s="39"/>
      <c r="AAB12" s="39"/>
      <c r="AAC12" s="39"/>
      <c r="AAD12" s="39"/>
      <c r="AAE12" s="39"/>
      <c r="AAF12" s="39"/>
      <c r="AAG12" s="39"/>
      <c r="AAH12" s="39"/>
      <c r="AAI12" s="39"/>
      <c r="AAJ12" s="39"/>
      <c r="AAK12" s="39"/>
      <c r="AAL12" s="39"/>
      <c r="AAM12" s="39"/>
      <c r="AAN12" s="39"/>
      <c r="AAO12" s="39"/>
      <c r="AAP12" s="39"/>
      <c r="AAQ12" s="39"/>
      <c r="AAR12" s="39"/>
      <c r="AAS12" s="39"/>
      <c r="AAT12" s="39"/>
      <c r="AAU12" s="39"/>
      <c r="AAV12" s="39"/>
      <c r="AAW12" s="39"/>
      <c r="AAX12" s="39"/>
      <c r="AAY12" s="39"/>
      <c r="AAZ12" s="39"/>
      <c r="ABA12" s="39"/>
      <c r="ABB12" s="39"/>
      <c r="ABC12" s="39"/>
      <c r="ABD12" s="39"/>
      <c r="ABE12" s="39"/>
      <c r="ABF12" s="39"/>
      <c r="ABG12" s="39"/>
      <c r="ABH12" s="39"/>
      <c r="ABI12" s="39"/>
      <c r="ABJ12" s="39"/>
      <c r="ABK12" s="39"/>
      <c r="ABL12" s="39"/>
      <c r="ABM12" s="39"/>
      <c r="ABN12" s="39"/>
      <c r="ABO12" s="39"/>
      <c r="ABP12" s="39"/>
      <c r="ABQ12" s="39"/>
      <c r="ABR12" s="39"/>
      <c r="ABS12" s="39"/>
      <c r="ABT12" s="39"/>
      <c r="ABU12" s="39"/>
      <c r="ABV12" s="39"/>
      <c r="ABW12" s="39"/>
      <c r="ABX12" s="39"/>
      <c r="ABY12" s="39"/>
      <c r="ABZ12" s="39"/>
      <c r="ACA12" s="39"/>
      <c r="ACB12" s="39"/>
      <c r="ACC12" s="39"/>
      <c r="ACD12" s="39"/>
      <c r="ACE12" s="39"/>
      <c r="ACF12" s="39"/>
      <c r="ACG12" s="39"/>
      <c r="ACH12" s="39"/>
      <c r="ACI12" s="39"/>
      <c r="ACJ12" s="39"/>
      <c r="ACK12" s="39"/>
      <c r="ACL12" s="39"/>
      <c r="ACM12" s="39"/>
      <c r="ACN12" s="39"/>
      <c r="ACO12" s="39"/>
      <c r="ACP12" s="39"/>
      <c r="ACQ12" s="39"/>
      <c r="ACR12" s="39"/>
      <c r="ACS12" s="39"/>
      <c r="ACT12" s="39"/>
      <c r="ACU12" s="39"/>
      <c r="ACV12" s="39"/>
      <c r="ACW12" s="39"/>
      <c r="ACX12" s="39"/>
      <c r="ACY12" s="39"/>
      <c r="ACZ12" s="39"/>
      <c r="ADA12" s="39"/>
      <c r="ADB12" s="39"/>
      <c r="ADC12" s="39"/>
      <c r="ADD12" s="39"/>
      <c r="ADE12" s="39"/>
      <c r="ADF12" s="39"/>
      <c r="ADG12" s="39"/>
      <c r="ADH12" s="39"/>
      <c r="ADI12" s="39"/>
      <c r="ADJ12" s="39"/>
      <c r="ADK12" s="39"/>
      <c r="ADL12" s="39"/>
      <c r="ADM12" s="39"/>
      <c r="ADN12" s="39"/>
      <c r="ADO12" s="39"/>
      <c r="ADP12" s="39"/>
      <c r="ADQ12" s="39"/>
      <c r="ADR12" s="39"/>
      <c r="ADS12" s="39"/>
      <c r="ADT12" s="39"/>
      <c r="ADU12" s="39"/>
      <c r="ADV12" s="39"/>
      <c r="ADW12" s="39"/>
      <c r="ADX12" s="39"/>
      <c r="ADY12" s="39"/>
      <c r="ADZ12" s="39"/>
      <c r="AEA12" s="39"/>
      <c r="AEB12" s="39"/>
      <c r="AEC12" s="39"/>
      <c r="AED12" s="39"/>
      <c r="AEE12" s="39"/>
      <c r="AEF12" s="39"/>
      <c r="AEG12" s="39"/>
      <c r="AEH12" s="39"/>
      <c r="AEI12" s="39"/>
      <c r="AEJ12" s="39"/>
      <c r="AEK12" s="39"/>
      <c r="AEL12" s="39"/>
      <c r="AEM12" s="39"/>
      <c r="AEN12" s="39"/>
      <c r="AEO12" s="39"/>
      <c r="AEP12" s="39"/>
      <c r="AEQ12" s="39"/>
      <c r="AER12" s="39"/>
      <c r="AES12" s="39"/>
      <c r="AET12" s="39"/>
      <c r="AEU12" s="39"/>
      <c r="AEV12" s="39"/>
      <c r="AEW12" s="39"/>
      <c r="AEX12" s="39"/>
      <c r="AEY12" s="39"/>
      <c r="AEZ12" s="39"/>
      <c r="AFA12" s="39"/>
      <c r="AFB12" s="39"/>
      <c r="AFC12" s="39"/>
      <c r="AFD12" s="39"/>
      <c r="AFE12" s="39"/>
      <c r="AFF12" s="39"/>
      <c r="AFG12" s="39"/>
      <c r="AFH12" s="39"/>
      <c r="AFI12" s="39"/>
      <c r="AFJ12" s="39"/>
      <c r="AFK12" s="39"/>
      <c r="AFL12" s="39"/>
      <c r="AFM12" s="39"/>
      <c r="AFN12" s="39"/>
      <c r="AFO12" s="39"/>
      <c r="AFP12" s="39"/>
      <c r="AFQ12" s="39"/>
      <c r="AFR12" s="39"/>
      <c r="AFS12" s="39"/>
      <c r="AFT12" s="39"/>
      <c r="AFU12" s="39"/>
      <c r="AFV12" s="39"/>
      <c r="AFW12" s="39"/>
      <c r="AFX12" s="39"/>
      <c r="AFY12" s="39"/>
      <c r="AFZ12" s="39"/>
      <c r="AGA12" s="39"/>
      <c r="AGB12" s="39"/>
      <c r="AGC12" s="39"/>
      <c r="AGD12" s="39"/>
      <c r="AGE12" s="39"/>
      <c r="AGF12" s="39"/>
      <c r="AGG12" s="39"/>
      <c r="AGH12" s="39"/>
      <c r="AGI12" s="39"/>
      <c r="AGJ12" s="39"/>
      <c r="AGK12" s="39"/>
      <c r="AGL12" s="39"/>
      <c r="AGM12" s="39"/>
      <c r="AGN12" s="39"/>
      <c r="AGO12" s="39"/>
      <c r="AGP12" s="39"/>
      <c r="AGQ12" s="39"/>
      <c r="AGR12" s="39"/>
      <c r="AGS12" s="39"/>
      <c r="AGT12" s="39"/>
      <c r="AGU12" s="39"/>
      <c r="AGV12" s="39"/>
      <c r="AGW12" s="39"/>
      <c r="AGX12" s="39"/>
      <c r="AGY12" s="39"/>
      <c r="AGZ12" s="39"/>
      <c r="AHA12" s="39"/>
      <c r="AHB12" s="39"/>
      <c r="AHC12" s="39"/>
      <c r="AHD12" s="39"/>
      <c r="AHE12" s="39"/>
      <c r="AHF12" s="39"/>
      <c r="AHG12" s="39"/>
      <c r="AHH12" s="39"/>
      <c r="AHI12" s="39"/>
      <c r="AHJ12" s="39"/>
      <c r="AHK12" s="39"/>
      <c r="AHL12" s="39"/>
      <c r="AHM12" s="39"/>
      <c r="AHN12" s="39"/>
      <c r="AHO12" s="39"/>
      <c r="AHP12" s="39"/>
      <c r="AHQ12" s="39"/>
      <c r="AHR12" s="39"/>
      <c r="AHS12" s="39"/>
      <c r="AHT12" s="39"/>
      <c r="AHU12" s="39"/>
      <c r="AHV12" s="39"/>
      <c r="AHW12" s="39"/>
      <c r="AHX12" s="39"/>
      <c r="AHY12" s="39"/>
      <c r="AHZ12" s="39"/>
      <c r="AIA12" s="39"/>
      <c r="AIB12" s="39"/>
      <c r="AIC12" s="39"/>
      <c r="AID12" s="39"/>
      <c r="AIE12" s="39"/>
      <c r="AIF12" s="39"/>
      <c r="AIG12" s="39"/>
      <c r="AIH12" s="39"/>
      <c r="AII12" s="39"/>
      <c r="AIJ12" s="39"/>
      <c r="AIK12" s="39"/>
      <c r="AIL12" s="39"/>
      <c r="AIM12" s="39"/>
      <c r="AIN12" s="39"/>
      <c r="AIO12" s="39"/>
      <c r="AIP12" s="39"/>
      <c r="AIQ12" s="39"/>
      <c r="AIR12" s="39"/>
      <c r="AIS12" s="39"/>
      <c r="AIT12" s="39"/>
      <c r="AIU12" s="39"/>
      <c r="AIV12" s="39"/>
      <c r="AIW12" s="39"/>
      <c r="AIX12" s="39"/>
      <c r="AIY12" s="39"/>
      <c r="AIZ12" s="39"/>
      <c r="AJA12" s="39"/>
      <c r="AJB12" s="39"/>
      <c r="AJC12" s="39"/>
      <c r="AJD12" s="39"/>
      <c r="AJE12" s="39"/>
      <c r="AJF12" s="39"/>
      <c r="AJG12" s="39"/>
      <c r="AJH12" s="39"/>
      <c r="AJI12" s="39"/>
      <c r="AJJ12" s="39"/>
      <c r="AJK12" s="39"/>
      <c r="AJL12" s="39"/>
      <c r="AJM12" s="39"/>
      <c r="AJN12" s="39"/>
      <c r="AJO12" s="39"/>
      <c r="AJP12" s="39"/>
      <c r="AJQ12" s="39"/>
      <c r="AJR12" s="39"/>
      <c r="AJS12" s="39"/>
      <c r="AJT12" s="39"/>
      <c r="AJU12" s="39"/>
      <c r="AJV12" s="39"/>
      <c r="AJW12" s="39"/>
      <c r="AJX12" s="39"/>
      <c r="AJY12" s="39"/>
      <c r="AJZ12" s="39"/>
      <c r="AKA12" s="39"/>
      <c r="AKB12" s="39"/>
      <c r="AKC12" s="39"/>
      <c r="AKD12" s="39"/>
      <c r="AKE12" s="39"/>
      <c r="AKF12" s="39"/>
      <c r="AKG12" s="39"/>
      <c r="AKH12" s="39"/>
      <c r="AKI12" s="39"/>
      <c r="AKJ12" s="39"/>
      <c r="AKK12" s="39"/>
      <c r="AKL12" s="39"/>
      <c r="AKM12" s="39"/>
      <c r="AKN12" s="39"/>
      <c r="AKO12" s="39"/>
      <c r="AKP12" s="39"/>
      <c r="AKQ12" s="39"/>
      <c r="AKR12" s="39"/>
      <c r="AKS12" s="39"/>
      <c r="AKT12" s="39"/>
      <c r="AKU12" s="39"/>
      <c r="AKV12" s="39"/>
      <c r="AKW12" s="39"/>
      <c r="AKX12" s="39"/>
      <c r="AKY12" s="39"/>
      <c r="AKZ12" s="39"/>
      <c r="ALA12" s="39"/>
      <c r="ALB12" s="39"/>
      <c r="ALC12" s="39"/>
      <c r="ALD12" s="39"/>
      <c r="ALE12" s="39"/>
      <c r="ALF12" s="39"/>
      <c r="ALG12" s="39"/>
      <c r="ALH12" s="39"/>
      <c r="ALI12" s="39"/>
      <c r="ALJ12" s="39"/>
      <c r="ALK12" s="39"/>
      <c r="ALL12" s="39"/>
      <c r="ALM12" s="39"/>
      <c r="ALN12" s="39"/>
      <c r="ALO12" s="39"/>
      <c r="ALP12" s="39"/>
      <c r="ALQ12" s="39"/>
      <c r="ALR12" s="39"/>
      <c r="ALS12" s="39"/>
      <c r="ALT12" s="39"/>
      <c r="ALU12" s="39"/>
      <c r="ALV12" s="39"/>
      <c r="ALW12" s="39"/>
      <c r="ALX12" s="39"/>
      <c r="ALY12" s="39"/>
      <c r="ALZ12" s="39"/>
      <c r="AMA12" s="39"/>
      <c r="AMB12" s="39"/>
      <c r="AMC12" s="39"/>
      <c r="AMD12" s="39"/>
      <c r="AME12" s="39"/>
      <c r="AMF12" s="39"/>
      <c r="AMG12" s="39"/>
      <c r="AMH12" s="39"/>
      <c r="AMI12" s="39"/>
      <c r="AMJ12" s="39"/>
      <c r="AMK12" s="39"/>
      <c r="AML12" s="39"/>
      <c r="AMM12" s="39"/>
      <c r="AMN12" s="39"/>
      <c r="AMO12" s="39"/>
      <c r="AMP12" s="39"/>
      <c r="AMQ12" s="39"/>
      <c r="AMR12" s="39"/>
      <c r="AMS12" s="39"/>
    </row>
    <row r="13" spans="1:1033" x14ac:dyDescent="0.2">
      <c r="A13" s="38" t="s">
        <v>293</v>
      </c>
      <c r="B13" s="38" t="s">
        <v>305</v>
      </c>
      <c r="C13" s="38" t="s">
        <v>293</v>
      </c>
      <c r="D13" s="38" t="s">
        <v>293</v>
      </c>
      <c r="G13" s="38" t="s">
        <v>306</v>
      </c>
      <c r="H13" s="38" t="s">
        <v>281</v>
      </c>
      <c r="J13" s="38">
        <v>60</v>
      </c>
      <c r="K13" s="38" t="s">
        <v>282</v>
      </c>
    </row>
    <row r="14" spans="1:1033" x14ac:dyDescent="0.2">
      <c r="A14" s="38" t="s">
        <v>307</v>
      </c>
      <c r="B14" s="38" t="s">
        <v>305</v>
      </c>
      <c r="C14" s="38" t="s">
        <v>282</v>
      </c>
      <c r="D14" s="38" t="s">
        <v>282</v>
      </c>
      <c r="G14" s="38" t="s">
        <v>306</v>
      </c>
      <c r="H14" s="38" t="s">
        <v>281</v>
      </c>
      <c r="J14" s="38">
        <v>60</v>
      </c>
      <c r="K14" s="38" t="s">
        <v>282</v>
      </c>
    </row>
    <row r="15" spans="1:1033" x14ac:dyDescent="0.2">
      <c r="A15" s="38" t="s">
        <v>284</v>
      </c>
      <c r="B15" s="38" t="s">
        <v>305</v>
      </c>
      <c r="C15" s="38" t="s">
        <v>284</v>
      </c>
      <c r="D15" s="38" t="s">
        <v>284</v>
      </c>
      <c r="G15" s="38" t="s">
        <v>308</v>
      </c>
      <c r="H15" s="38" t="s">
        <v>281</v>
      </c>
      <c r="J15" s="38">
        <v>12</v>
      </c>
      <c r="K15" s="38" t="s">
        <v>282</v>
      </c>
    </row>
  </sheetData>
  <pageMargins left="0" right="0" top="0.39370078740157483" bottom="0.39370078740157483" header="0" footer="0"/>
  <pageSetup paperSize="9" orientation="portrait" horizontalDpi="300" verticalDpi="300"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5BFF-01C4-4E52-85DF-26126FC6771B}">
  <dimension ref="A1:A2"/>
  <sheetViews>
    <sheetView workbookViewId="0">
      <pane xSplit="1" ySplit="2" topLeftCell="B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19.375" style="4" customWidth="1"/>
    <col min="2" max="16384" width="8.625" style="4"/>
  </cols>
  <sheetData>
    <row r="1" spans="1:1" s="26" customFormat="1" x14ac:dyDescent="0.2">
      <c r="A1" s="19" t="str">
        <f>CONCATENATE("Deelzaaktypen van zaaktype ",Zaaktype!B2,": ",Zaaktype!B3)</f>
        <v>Deelzaaktypen van zaaktype 2: Advies verstrekken (informeel)</v>
      </c>
    </row>
    <row r="2" spans="1:1" s="3" customFormat="1" x14ac:dyDescent="0.2">
      <c r="A2" s="3" t="s">
        <v>309</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3"/>
  <sheetViews>
    <sheetView workbookViewId="0">
      <pane xSplit="1" ySplit="2" topLeftCell="B3" activePane="bottomRight" state="frozen"/>
      <selection pane="topRight" activeCell="D5" sqref="D5"/>
      <selection pane="bottomLeft" activeCell="D5" sqref="D5"/>
      <selection pane="bottomRight" activeCell="D5" sqref="D5"/>
    </sheetView>
  </sheetViews>
  <sheetFormatPr defaultColWidth="8.625" defaultRowHeight="12.75" x14ac:dyDescent="0.2"/>
  <cols>
    <col min="1" max="1" width="46" style="1" customWidth="1"/>
    <col min="2" max="2" width="14.5" style="1" customWidth="1"/>
    <col min="3" max="3" width="54.375" style="1" customWidth="1"/>
    <col min="4" max="1024" width="42.625" style="1" customWidth="1"/>
    <col min="1025" max="16384" width="8.625" style="29"/>
  </cols>
  <sheetData>
    <row r="1" spans="1:1024" s="28" customFormat="1" ht="14.1" customHeight="1" x14ac:dyDescent="0.2">
      <c r="A1" s="32" t="str">
        <f>CONCATENATE("Gerelateerde zaaktypen van zaaktype ",Zaaktype!B2,": ",Zaaktype!B3)</f>
        <v>Gerelateerde zaaktypen van zaaktype 2: Advies verstrekken (informeel)</v>
      </c>
      <c r="B1" s="32"/>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c r="GU1" s="20"/>
      <c r="GV1" s="20"/>
      <c r="GW1" s="20"/>
      <c r="GX1" s="20"/>
      <c r="GY1" s="20"/>
      <c r="GZ1" s="20"/>
      <c r="HA1" s="20"/>
      <c r="HB1" s="20"/>
      <c r="HC1" s="20"/>
      <c r="HD1" s="20"/>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c r="IR1" s="20"/>
      <c r="IS1" s="20"/>
      <c r="IT1" s="20"/>
      <c r="IU1" s="20"/>
      <c r="IV1" s="20"/>
      <c r="IW1" s="20"/>
      <c r="IX1" s="20"/>
      <c r="IY1" s="20"/>
      <c r="IZ1" s="20"/>
      <c r="JA1" s="20"/>
      <c r="JB1" s="20"/>
      <c r="JC1" s="20"/>
      <c r="JD1" s="20"/>
      <c r="JE1" s="20"/>
      <c r="JF1" s="20"/>
      <c r="JG1" s="20"/>
      <c r="JH1" s="20"/>
      <c r="JI1" s="20"/>
      <c r="JJ1" s="20"/>
      <c r="JK1" s="20"/>
      <c r="JL1" s="20"/>
      <c r="JM1" s="20"/>
      <c r="JN1" s="20"/>
      <c r="JO1" s="20"/>
      <c r="JP1" s="20"/>
      <c r="JQ1" s="20"/>
      <c r="JR1" s="20"/>
      <c r="JS1" s="20"/>
      <c r="JT1" s="20"/>
      <c r="JU1" s="20"/>
      <c r="JV1" s="20"/>
      <c r="JW1" s="20"/>
      <c r="JX1" s="20"/>
      <c r="JY1" s="20"/>
      <c r="JZ1" s="20"/>
      <c r="KA1" s="20"/>
      <c r="KB1" s="20"/>
      <c r="KC1" s="20"/>
      <c r="KD1" s="20"/>
      <c r="KE1" s="20"/>
      <c r="KF1" s="20"/>
      <c r="KG1" s="20"/>
      <c r="KH1" s="20"/>
      <c r="KI1" s="20"/>
      <c r="KJ1" s="20"/>
      <c r="KK1" s="20"/>
      <c r="KL1" s="20"/>
      <c r="KM1" s="20"/>
      <c r="KN1" s="20"/>
      <c r="KO1" s="20"/>
      <c r="KP1" s="20"/>
      <c r="KQ1" s="20"/>
      <c r="KR1" s="20"/>
      <c r="KS1" s="20"/>
      <c r="KT1" s="20"/>
      <c r="KU1" s="20"/>
      <c r="KV1" s="20"/>
      <c r="KW1" s="20"/>
      <c r="KX1" s="20"/>
      <c r="KY1" s="20"/>
      <c r="KZ1" s="20"/>
      <c r="LA1" s="20"/>
      <c r="LB1" s="20"/>
      <c r="LC1" s="20"/>
      <c r="LD1" s="20"/>
      <c r="LE1" s="20"/>
      <c r="LF1" s="20"/>
      <c r="LG1" s="20"/>
      <c r="LH1" s="20"/>
      <c r="LI1" s="20"/>
      <c r="LJ1" s="20"/>
      <c r="LK1" s="20"/>
      <c r="LL1" s="20"/>
      <c r="LM1" s="20"/>
      <c r="LN1" s="20"/>
      <c r="LO1" s="20"/>
      <c r="LP1" s="20"/>
      <c r="LQ1" s="20"/>
      <c r="LR1" s="20"/>
      <c r="LS1" s="20"/>
      <c r="LT1" s="20"/>
      <c r="LU1" s="20"/>
      <c r="LV1" s="20"/>
      <c r="LW1" s="20"/>
      <c r="LX1" s="20"/>
      <c r="LY1" s="20"/>
      <c r="LZ1" s="20"/>
      <c r="MA1" s="20"/>
      <c r="MB1" s="20"/>
      <c r="MC1" s="20"/>
      <c r="MD1" s="20"/>
      <c r="ME1" s="20"/>
      <c r="MF1" s="20"/>
      <c r="MG1" s="20"/>
      <c r="MH1" s="20"/>
      <c r="MI1" s="20"/>
      <c r="MJ1" s="20"/>
      <c r="MK1" s="20"/>
      <c r="ML1" s="20"/>
      <c r="MM1" s="20"/>
      <c r="MN1" s="20"/>
      <c r="MO1" s="20"/>
      <c r="MP1" s="20"/>
      <c r="MQ1" s="20"/>
      <c r="MR1" s="20"/>
      <c r="MS1" s="20"/>
      <c r="MT1" s="20"/>
      <c r="MU1" s="20"/>
      <c r="MV1" s="20"/>
      <c r="MW1" s="20"/>
      <c r="MX1" s="20"/>
      <c r="MY1" s="20"/>
      <c r="MZ1" s="20"/>
      <c r="NA1" s="20"/>
      <c r="NB1" s="20"/>
      <c r="NC1" s="20"/>
      <c r="ND1" s="20"/>
      <c r="NE1" s="20"/>
      <c r="NF1" s="20"/>
      <c r="NG1" s="20"/>
      <c r="NH1" s="20"/>
      <c r="NI1" s="20"/>
      <c r="NJ1" s="20"/>
      <c r="NK1" s="20"/>
      <c r="NL1" s="20"/>
      <c r="NM1" s="20"/>
      <c r="NN1" s="20"/>
      <c r="NO1" s="20"/>
      <c r="NP1" s="20"/>
      <c r="NQ1" s="20"/>
      <c r="NR1" s="20"/>
      <c r="NS1" s="20"/>
      <c r="NT1" s="20"/>
      <c r="NU1" s="20"/>
      <c r="NV1" s="20"/>
      <c r="NW1" s="20"/>
      <c r="NX1" s="20"/>
      <c r="NY1" s="20"/>
      <c r="NZ1" s="20"/>
      <c r="OA1" s="20"/>
      <c r="OB1" s="20"/>
      <c r="OC1" s="20"/>
      <c r="OD1" s="20"/>
      <c r="OE1" s="20"/>
      <c r="OF1" s="20"/>
      <c r="OG1" s="20"/>
      <c r="OH1" s="20"/>
      <c r="OI1" s="20"/>
      <c r="OJ1" s="20"/>
      <c r="OK1" s="20"/>
      <c r="OL1" s="20"/>
      <c r="OM1" s="20"/>
      <c r="ON1" s="20"/>
      <c r="OO1" s="20"/>
      <c r="OP1" s="20"/>
      <c r="OQ1" s="20"/>
      <c r="OR1" s="20"/>
      <c r="OS1" s="20"/>
      <c r="OT1" s="20"/>
      <c r="OU1" s="20"/>
      <c r="OV1" s="20"/>
      <c r="OW1" s="20"/>
      <c r="OX1" s="20"/>
      <c r="OY1" s="20"/>
      <c r="OZ1" s="20"/>
      <c r="PA1" s="20"/>
      <c r="PB1" s="20"/>
      <c r="PC1" s="20"/>
      <c r="PD1" s="20"/>
      <c r="PE1" s="20"/>
      <c r="PF1" s="20"/>
      <c r="PG1" s="20"/>
      <c r="PH1" s="20"/>
      <c r="PI1" s="20"/>
      <c r="PJ1" s="20"/>
      <c r="PK1" s="20"/>
      <c r="PL1" s="20"/>
      <c r="PM1" s="20"/>
      <c r="PN1" s="20"/>
      <c r="PO1" s="20"/>
      <c r="PP1" s="20"/>
      <c r="PQ1" s="20"/>
      <c r="PR1" s="20"/>
      <c r="PS1" s="20"/>
      <c r="PT1" s="20"/>
      <c r="PU1" s="20"/>
      <c r="PV1" s="20"/>
      <c r="PW1" s="20"/>
      <c r="PX1" s="20"/>
      <c r="PY1" s="20"/>
      <c r="PZ1" s="20"/>
      <c r="QA1" s="20"/>
      <c r="QB1" s="20"/>
      <c r="QC1" s="20"/>
      <c r="QD1" s="20"/>
      <c r="QE1" s="20"/>
      <c r="QF1" s="20"/>
      <c r="QG1" s="20"/>
      <c r="QH1" s="20"/>
      <c r="QI1" s="20"/>
      <c r="QJ1" s="20"/>
      <c r="QK1" s="20"/>
      <c r="QL1" s="20"/>
      <c r="QM1" s="20"/>
      <c r="QN1" s="20"/>
      <c r="QO1" s="20"/>
      <c r="QP1" s="20"/>
      <c r="QQ1" s="20"/>
      <c r="QR1" s="20"/>
      <c r="QS1" s="20"/>
      <c r="QT1" s="20"/>
      <c r="QU1" s="20"/>
      <c r="QV1" s="20"/>
      <c r="QW1" s="20"/>
      <c r="QX1" s="20"/>
      <c r="QY1" s="20"/>
      <c r="QZ1" s="20"/>
      <c r="RA1" s="20"/>
      <c r="RB1" s="20"/>
      <c r="RC1" s="20"/>
      <c r="RD1" s="20"/>
      <c r="RE1" s="20"/>
      <c r="RF1" s="20"/>
      <c r="RG1" s="20"/>
      <c r="RH1" s="20"/>
      <c r="RI1" s="20"/>
      <c r="RJ1" s="20"/>
      <c r="RK1" s="20"/>
      <c r="RL1" s="20"/>
      <c r="RM1" s="20"/>
      <c r="RN1" s="20"/>
      <c r="RO1" s="20"/>
      <c r="RP1" s="20"/>
      <c r="RQ1" s="20"/>
      <c r="RR1" s="20"/>
      <c r="RS1" s="20"/>
      <c r="RT1" s="20"/>
      <c r="RU1" s="20"/>
      <c r="RV1" s="20"/>
      <c r="RW1" s="20"/>
      <c r="RX1" s="20"/>
      <c r="RY1" s="20"/>
      <c r="RZ1" s="20"/>
      <c r="SA1" s="20"/>
      <c r="SB1" s="20"/>
      <c r="SC1" s="20"/>
      <c r="SD1" s="20"/>
      <c r="SE1" s="20"/>
      <c r="SF1" s="20"/>
      <c r="SG1" s="20"/>
      <c r="SH1" s="20"/>
      <c r="SI1" s="20"/>
      <c r="SJ1" s="20"/>
      <c r="SK1" s="20"/>
      <c r="SL1" s="20"/>
      <c r="SM1" s="20"/>
      <c r="SN1" s="20"/>
      <c r="SO1" s="20"/>
      <c r="SP1" s="20"/>
      <c r="SQ1" s="20"/>
      <c r="SR1" s="20"/>
      <c r="SS1" s="20"/>
      <c r="ST1" s="20"/>
      <c r="SU1" s="20"/>
      <c r="SV1" s="20"/>
      <c r="SW1" s="20"/>
      <c r="SX1" s="20"/>
      <c r="SY1" s="20"/>
      <c r="SZ1" s="20"/>
      <c r="TA1" s="20"/>
      <c r="TB1" s="20"/>
      <c r="TC1" s="20"/>
      <c r="TD1" s="20"/>
      <c r="TE1" s="20"/>
      <c r="TF1" s="20"/>
      <c r="TG1" s="20"/>
      <c r="TH1" s="20"/>
      <c r="TI1" s="20"/>
      <c r="TJ1" s="20"/>
      <c r="TK1" s="20"/>
      <c r="TL1" s="20"/>
      <c r="TM1" s="20"/>
      <c r="TN1" s="20"/>
      <c r="TO1" s="20"/>
      <c r="TP1" s="20"/>
      <c r="TQ1" s="20"/>
      <c r="TR1" s="20"/>
      <c r="TS1" s="20"/>
      <c r="TT1" s="20"/>
      <c r="TU1" s="20"/>
      <c r="TV1" s="20"/>
      <c r="TW1" s="20"/>
      <c r="TX1" s="20"/>
      <c r="TY1" s="20"/>
      <c r="TZ1" s="20"/>
      <c r="UA1" s="20"/>
      <c r="UB1" s="20"/>
      <c r="UC1" s="20"/>
      <c r="UD1" s="20"/>
      <c r="UE1" s="20"/>
      <c r="UF1" s="20"/>
      <c r="UG1" s="20"/>
      <c r="UH1" s="20"/>
      <c r="UI1" s="20"/>
      <c r="UJ1" s="20"/>
      <c r="UK1" s="20"/>
      <c r="UL1" s="20"/>
      <c r="UM1" s="20"/>
      <c r="UN1" s="20"/>
      <c r="UO1" s="20"/>
      <c r="UP1" s="20"/>
      <c r="UQ1" s="20"/>
      <c r="UR1" s="20"/>
      <c r="US1" s="20"/>
      <c r="UT1" s="20"/>
      <c r="UU1" s="20"/>
      <c r="UV1" s="20"/>
      <c r="UW1" s="20"/>
      <c r="UX1" s="20"/>
      <c r="UY1" s="20"/>
      <c r="UZ1" s="20"/>
      <c r="VA1" s="20"/>
      <c r="VB1" s="20"/>
      <c r="VC1" s="20"/>
      <c r="VD1" s="20"/>
      <c r="VE1" s="20"/>
      <c r="VF1" s="20"/>
      <c r="VG1" s="20"/>
      <c r="VH1" s="20"/>
      <c r="VI1" s="20"/>
      <c r="VJ1" s="20"/>
      <c r="VK1" s="20"/>
      <c r="VL1" s="20"/>
      <c r="VM1" s="20"/>
      <c r="VN1" s="20"/>
      <c r="VO1" s="20"/>
      <c r="VP1" s="20"/>
      <c r="VQ1" s="20"/>
      <c r="VR1" s="20"/>
      <c r="VS1" s="20"/>
      <c r="VT1" s="20"/>
      <c r="VU1" s="20"/>
      <c r="VV1" s="20"/>
      <c r="VW1" s="20"/>
      <c r="VX1" s="20"/>
      <c r="VY1" s="20"/>
      <c r="VZ1" s="20"/>
      <c r="WA1" s="20"/>
      <c r="WB1" s="20"/>
      <c r="WC1" s="20"/>
      <c r="WD1" s="20"/>
      <c r="WE1" s="20"/>
      <c r="WF1" s="20"/>
      <c r="WG1" s="20"/>
      <c r="WH1" s="20"/>
      <c r="WI1" s="20"/>
      <c r="WJ1" s="20"/>
      <c r="WK1" s="20"/>
      <c r="WL1" s="20"/>
      <c r="WM1" s="20"/>
      <c r="WN1" s="20"/>
      <c r="WO1" s="20"/>
      <c r="WP1" s="20"/>
      <c r="WQ1" s="20"/>
      <c r="WR1" s="20"/>
      <c r="WS1" s="20"/>
      <c r="WT1" s="20"/>
      <c r="WU1" s="20"/>
      <c r="WV1" s="20"/>
      <c r="WW1" s="20"/>
      <c r="WX1" s="20"/>
      <c r="WY1" s="20"/>
      <c r="WZ1" s="20"/>
      <c r="XA1" s="20"/>
      <c r="XB1" s="20"/>
      <c r="XC1" s="20"/>
      <c r="XD1" s="20"/>
      <c r="XE1" s="20"/>
      <c r="XF1" s="20"/>
      <c r="XG1" s="20"/>
      <c r="XH1" s="20"/>
      <c r="XI1" s="20"/>
      <c r="XJ1" s="20"/>
      <c r="XK1" s="20"/>
      <c r="XL1" s="20"/>
      <c r="XM1" s="20"/>
      <c r="XN1" s="20"/>
      <c r="XO1" s="20"/>
      <c r="XP1" s="20"/>
      <c r="XQ1" s="20"/>
      <c r="XR1" s="20"/>
      <c r="XS1" s="20"/>
      <c r="XT1" s="20"/>
      <c r="XU1" s="20"/>
      <c r="XV1" s="20"/>
      <c r="XW1" s="20"/>
      <c r="XX1" s="20"/>
      <c r="XY1" s="20"/>
      <c r="XZ1" s="20"/>
      <c r="YA1" s="20"/>
      <c r="YB1" s="20"/>
      <c r="YC1" s="20"/>
      <c r="YD1" s="20"/>
      <c r="YE1" s="20"/>
      <c r="YF1" s="20"/>
      <c r="YG1" s="20"/>
      <c r="YH1" s="20"/>
      <c r="YI1" s="20"/>
      <c r="YJ1" s="20"/>
      <c r="YK1" s="20"/>
      <c r="YL1" s="20"/>
      <c r="YM1" s="20"/>
      <c r="YN1" s="20"/>
      <c r="YO1" s="20"/>
      <c r="YP1" s="20"/>
      <c r="YQ1" s="20"/>
      <c r="YR1" s="20"/>
      <c r="YS1" s="20"/>
      <c r="YT1" s="20"/>
      <c r="YU1" s="20"/>
      <c r="YV1" s="20"/>
      <c r="YW1" s="20"/>
      <c r="YX1" s="20"/>
      <c r="YY1" s="20"/>
      <c r="YZ1" s="20"/>
      <c r="ZA1" s="20"/>
      <c r="ZB1" s="20"/>
      <c r="ZC1" s="20"/>
      <c r="ZD1" s="20"/>
      <c r="ZE1" s="20"/>
      <c r="ZF1" s="20"/>
      <c r="ZG1" s="20"/>
      <c r="ZH1" s="20"/>
      <c r="ZI1" s="20"/>
      <c r="ZJ1" s="20"/>
      <c r="ZK1" s="20"/>
      <c r="ZL1" s="20"/>
      <c r="ZM1" s="20"/>
      <c r="ZN1" s="20"/>
      <c r="ZO1" s="20"/>
      <c r="ZP1" s="20"/>
      <c r="ZQ1" s="20"/>
      <c r="ZR1" s="20"/>
      <c r="ZS1" s="20"/>
      <c r="ZT1" s="20"/>
      <c r="ZU1" s="20"/>
      <c r="ZV1" s="20"/>
      <c r="ZW1" s="20"/>
      <c r="ZX1" s="20"/>
      <c r="ZY1" s="20"/>
      <c r="ZZ1" s="20"/>
      <c r="AAA1" s="20"/>
      <c r="AAB1" s="20"/>
      <c r="AAC1" s="20"/>
      <c r="AAD1" s="20"/>
      <c r="AAE1" s="20"/>
      <c r="AAF1" s="20"/>
      <c r="AAG1" s="20"/>
      <c r="AAH1" s="20"/>
      <c r="AAI1" s="20"/>
      <c r="AAJ1" s="20"/>
      <c r="AAK1" s="20"/>
      <c r="AAL1" s="20"/>
      <c r="AAM1" s="20"/>
      <c r="AAN1" s="20"/>
      <c r="AAO1" s="20"/>
      <c r="AAP1" s="20"/>
      <c r="AAQ1" s="20"/>
      <c r="AAR1" s="20"/>
      <c r="AAS1" s="20"/>
      <c r="AAT1" s="20"/>
      <c r="AAU1" s="20"/>
      <c r="AAV1" s="20"/>
      <c r="AAW1" s="20"/>
      <c r="AAX1" s="20"/>
      <c r="AAY1" s="20"/>
      <c r="AAZ1" s="20"/>
      <c r="ABA1" s="20"/>
      <c r="ABB1" s="20"/>
      <c r="ABC1" s="20"/>
      <c r="ABD1" s="20"/>
      <c r="ABE1" s="20"/>
      <c r="ABF1" s="20"/>
      <c r="ABG1" s="20"/>
      <c r="ABH1" s="20"/>
      <c r="ABI1" s="20"/>
      <c r="ABJ1" s="20"/>
      <c r="ABK1" s="20"/>
      <c r="ABL1" s="20"/>
      <c r="ABM1" s="20"/>
      <c r="ABN1" s="20"/>
      <c r="ABO1" s="20"/>
      <c r="ABP1" s="20"/>
      <c r="ABQ1" s="20"/>
      <c r="ABR1" s="20"/>
      <c r="ABS1" s="20"/>
      <c r="ABT1" s="20"/>
      <c r="ABU1" s="20"/>
      <c r="ABV1" s="20"/>
      <c r="ABW1" s="20"/>
      <c r="ABX1" s="20"/>
      <c r="ABY1" s="20"/>
      <c r="ABZ1" s="20"/>
      <c r="ACA1" s="20"/>
      <c r="ACB1" s="20"/>
      <c r="ACC1" s="20"/>
      <c r="ACD1" s="20"/>
      <c r="ACE1" s="20"/>
      <c r="ACF1" s="20"/>
      <c r="ACG1" s="20"/>
      <c r="ACH1" s="20"/>
      <c r="ACI1" s="20"/>
      <c r="ACJ1" s="20"/>
      <c r="ACK1" s="20"/>
      <c r="ACL1" s="20"/>
      <c r="ACM1" s="20"/>
      <c r="ACN1" s="20"/>
      <c r="ACO1" s="20"/>
      <c r="ACP1" s="20"/>
      <c r="ACQ1" s="20"/>
      <c r="ACR1" s="20"/>
      <c r="ACS1" s="20"/>
      <c r="ACT1" s="20"/>
      <c r="ACU1" s="20"/>
      <c r="ACV1" s="20"/>
      <c r="ACW1" s="20"/>
      <c r="ACX1" s="20"/>
      <c r="ACY1" s="20"/>
      <c r="ACZ1" s="20"/>
      <c r="ADA1" s="20"/>
      <c r="ADB1" s="20"/>
      <c r="ADC1" s="20"/>
      <c r="ADD1" s="20"/>
      <c r="ADE1" s="20"/>
      <c r="ADF1" s="20"/>
      <c r="ADG1" s="20"/>
      <c r="ADH1" s="20"/>
      <c r="ADI1" s="20"/>
      <c r="ADJ1" s="20"/>
      <c r="ADK1" s="20"/>
      <c r="ADL1" s="20"/>
      <c r="ADM1" s="20"/>
      <c r="ADN1" s="20"/>
      <c r="ADO1" s="20"/>
      <c r="ADP1" s="20"/>
      <c r="ADQ1" s="20"/>
      <c r="ADR1" s="20"/>
      <c r="ADS1" s="20"/>
      <c r="ADT1" s="20"/>
      <c r="ADU1" s="20"/>
      <c r="ADV1" s="20"/>
      <c r="ADW1" s="20"/>
      <c r="ADX1" s="20"/>
      <c r="ADY1" s="20"/>
      <c r="ADZ1" s="20"/>
      <c r="AEA1" s="20"/>
      <c r="AEB1" s="20"/>
      <c r="AEC1" s="20"/>
      <c r="AED1" s="20"/>
      <c r="AEE1" s="20"/>
      <c r="AEF1" s="20"/>
      <c r="AEG1" s="20"/>
      <c r="AEH1" s="20"/>
      <c r="AEI1" s="20"/>
      <c r="AEJ1" s="20"/>
      <c r="AEK1" s="20"/>
      <c r="AEL1" s="20"/>
      <c r="AEM1" s="20"/>
      <c r="AEN1" s="20"/>
      <c r="AEO1" s="20"/>
      <c r="AEP1" s="20"/>
      <c r="AEQ1" s="20"/>
      <c r="AER1" s="20"/>
      <c r="AES1" s="20"/>
      <c r="AET1" s="20"/>
      <c r="AEU1" s="20"/>
      <c r="AEV1" s="20"/>
      <c r="AEW1" s="20"/>
      <c r="AEX1" s="20"/>
      <c r="AEY1" s="20"/>
      <c r="AEZ1" s="20"/>
      <c r="AFA1" s="20"/>
      <c r="AFB1" s="20"/>
      <c r="AFC1" s="20"/>
      <c r="AFD1" s="20"/>
      <c r="AFE1" s="20"/>
      <c r="AFF1" s="20"/>
      <c r="AFG1" s="20"/>
      <c r="AFH1" s="20"/>
      <c r="AFI1" s="20"/>
      <c r="AFJ1" s="20"/>
      <c r="AFK1" s="20"/>
      <c r="AFL1" s="20"/>
      <c r="AFM1" s="20"/>
      <c r="AFN1" s="20"/>
      <c r="AFO1" s="20"/>
      <c r="AFP1" s="20"/>
      <c r="AFQ1" s="20"/>
      <c r="AFR1" s="20"/>
      <c r="AFS1" s="20"/>
      <c r="AFT1" s="20"/>
      <c r="AFU1" s="20"/>
      <c r="AFV1" s="20"/>
      <c r="AFW1" s="20"/>
      <c r="AFX1" s="20"/>
      <c r="AFY1" s="20"/>
      <c r="AFZ1" s="20"/>
      <c r="AGA1" s="20"/>
      <c r="AGB1" s="20"/>
      <c r="AGC1" s="20"/>
      <c r="AGD1" s="20"/>
      <c r="AGE1" s="20"/>
      <c r="AGF1" s="20"/>
      <c r="AGG1" s="20"/>
      <c r="AGH1" s="20"/>
      <c r="AGI1" s="20"/>
      <c r="AGJ1" s="20"/>
      <c r="AGK1" s="20"/>
      <c r="AGL1" s="20"/>
      <c r="AGM1" s="20"/>
      <c r="AGN1" s="20"/>
      <c r="AGO1" s="20"/>
      <c r="AGP1" s="20"/>
      <c r="AGQ1" s="20"/>
      <c r="AGR1" s="20"/>
      <c r="AGS1" s="20"/>
      <c r="AGT1" s="20"/>
      <c r="AGU1" s="20"/>
      <c r="AGV1" s="20"/>
      <c r="AGW1" s="20"/>
      <c r="AGX1" s="20"/>
      <c r="AGY1" s="20"/>
      <c r="AGZ1" s="20"/>
      <c r="AHA1" s="20"/>
      <c r="AHB1" s="20"/>
      <c r="AHC1" s="20"/>
      <c r="AHD1" s="20"/>
      <c r="AHE1" s="20"/>
      <c r="AHF1" s="20"/>
      <c r="AHG1" s="20"/>
      <c r="AHH1" s="20"/>
      <c r="AHI1" s="20"/>
      <c r="AHJ1" s="20"/>
      <c r="AHK1" s="20"/>
      <c r="AHL1" s="20"/>
      <c r="AHM1" s="20"/>
      <c r="AHN1" s="20"/>
      <c r="AHO1" s="20"/>
      <c r="AHP1" s="20"/>
      <c r="AHQ1" s="20"/>
      <c r="AHR1" s="20"/>
      <c r="AHS1" s="20"/>
      <c r="AHT1" s="20"/>
      <c r="AHU1" s="20"/>
      <c r="AHV1" s="20"/>
      <c r="AHW1" s="20"/>
      <c r="AHX1" s="20"/>
      <c r="AHY1" s="20"/>
      <c r="AHZ1" s="20"/>
      <c r="AIA1" s="20"/>
      <c r="AIB1" s="20"/>
      <c r="AIC1" s="20"/>
      <c r="AID1" s="20"/>
      <c r="AIE1" s="20"/>
      <c r="AIF1" s="20"/>
      <c r="AIG1" s="20"/>
      <c r="AIH1" s="20"/>
      <c r="AII1" s="20"/>
      <c r="AIJ1" s="20"/>
      <c r="AIK1" s="20"/>
      <c r="AIL1" s="20"/>
      <c r="AIM1" s="20"/>
      <c r="AIN1" s="20"/>
      <c r="AIO1" s="20"/>
      <c r="AIP1" s="20"/>
      <c r="AIQ1" s="20"/>
      <c r="AIR1" s="20"/>
      <c r="AIS1" s="20"/>
      <c r="AIT1" s="20"/>
      <c r="AIU1" s="20"/>
      <c r="AIV1" s="20"/>
      <c r="AIW1" s="20"/>
      <c r="AIX1" s="20"/>
      <c r="AIY1" s="20"/>
      <c r="AIZ1" s="20"/>
      <c r="AJA1" s="20"/>
      <c r="AJB1" s="20"/>
      <c r="AJC1" s="20"/>
      <c r="AJD1" s="20"/>
      <c r="AJE1" s="20"/>
      <c r="AJF1" s="20"/>
      <c r="AJG1" s="20"/>
      <c r="AJH1" s="20"/>
      <c r="AJI1" s="20"/>
      <c r="AJJ1" s="20"/>
      <c r="AJK1" s="20"/>
      <c r="AJL1" s="20"/>
      <c r="AJM1" s="20"/>
      <c r="AJN1" s="20"/>
      <c r="AJO1" s="20"/>
      <c r="AJP1" s="20"/>
      <c r="AJQ1" s="20"/>
      <c r="AJR1" s="20"/>
      <c r="AJS1" s="20"/>
      <c r="AJT1" s="20"/>
      <c r="AJU1" s="20"/>
      <c r="AJV1" s="20"/>
      <c r="AJW1" s="20"/>
      <c r="AJX1" s="20"/>
      <c r="AJY1" s="20"/>
      <c r="AJZ1" s="20"/>
      <c r="AKA1" s="20"/>
      <c r="AKB1" s="20"/>
      <c r="AKC1" s="20"/>
      <c r="AKD1" s="20"/>
      <c r="AKE1" s="20"/>
      <c r="AKF1" s="20"/>
      <c r="AKG1" s="20"/>
      <c r="AKH1" s="20"/>
      <c r="AKI1" s="20"/>
      <c r="AKJ1" s="20"/>
      <c r="AKK1" s="20"/>
      <c r="AKL1" s="20"/>
      <c r="AKM1" s="20"/>
      <c r="AKN1" s="20"/>
      <c r="AKO1" s="20"/>
      <c r="AKP1" s="20"/>
      <c r="AKQ1" s="20"/>
      <c r="AKR1" s="20"/>
      <c r="AKS1" s="20"/>
      <c r="AKT1" s="20"/>
      <c r="AKU1" s="20"/>
      <c r="AKV1" s="20"/>
      <c r="AKW1" s="20"/>
      <c r="AKX1" s="20"/>
      <c r="AKY1" s="20"/>
      <c r="AKZ1" s="20"/>
      <c r="ALA1" s="20"/>
      <c r="ALB1" s="20"/>
      <c r="ALC1" s="20"/>
      <c r="ALD1" s="20"/>
      <c r="ALE1" s="20"/>
      <c r="ALF1" s="20"/>
      <c r="ALG1" s="20"/>
      <c r="ALH1" s="20"/>
      <c r="ALI1" s="20"/>
      <c r="ALJ1" s="20"/>
      <c r="ALK1" s="20"/>
      <c r="ALL1" s="20"/>
      <c r="ALM1" s="20"/>
      <c r="ALN1" s="20"/>
      <c r="ALO1" s="20"/>
      <c r="ALP1" s="20"/>
      <c r="ALQ1" s="20"/>
      <c r="ALR1" s="20"/>
      <c r="ALS1" s="20"/>
      <c r="ALT1" s="20"/>
      <c r="ALU1" s="20"/>
      <c r="ALV1" s="20"/>
      <c r="ALW1" s="20"/>
      <c r="ALX1" s="20"/>
      <c r="ALY1" s="20"/>
      <c r="ALZ1" s="20"/>
      <c r="AMA1" s="20"/>
      <c r="AMB1" s="20"/>
      <c r="AMC1" s="20"/>
      <c r="AMD1" s="20"/>
      <c r="AME1" s="20"/>
      <c r="AMF1" s="20"/>
      <c r="AMG1" s="20"/>
      <c r="AMH1" s="20"/>
      <c r="AMI1" s="20"/>
      <c r="AMJ1" s="20"/>
    </row>
    <row r="2" spans="1:1024" x14ac:dyDescent="0.2">
      <c r="A2" s="2" t="s">
        <v>310</v>
      </c>
      <c r="B2" s="2" t="s">
        <v>311</v>
      </c>
      <c r="C2" s="2" t="s">
        <v>11</v>
      </c>
    </row>
    <row r="3" spans="1:1024" ht="25.5" x14ac:dyDescent="0.2">
      <c r="A3" s="17" t="s">
        <v>312</v>
      </c>
      <c r="B3" s="5" t="s">
        <v>313</v>
      </c>
      <c r="C3" s="17" t="s">
        <v>314</v>
      </c>
    </row>
  </sheetData>
  <mergeCells count="1">
    <mergeCell ref="A1:B1"/>
  </mergeCells>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election activeCell="D5" sqref="D5"/>
    </sheetView>
  </sheetViews>
  <sheetFormatPr defaultColWidth="9" defaultRowHeight="12.75" x14ac:dyDescent="0.2"/>
  <cols>
    <col min="1" max="1" width="10.625" style="18" customWidth="1"/>
    <col min="2" max="16384" width="9" style="18"/>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election activeCell="D5" sqref="D5"/>
    </sheetView>
  </sheetViews>
  <sheetFormatPr defaultColWidth="9" defaultRowHeight="12.75" x14ac:dyDescent="0.2"/>
  <cols>
    <col min="1" max="1" width="10.625" style="18" customWidth="1"/>
    <col min="2" max="16384" width="9" style="18"/>
  </cols>
  <sheetData/>
  <pageMargins left="0" right="0" top="0.39370078740157483" bottom="0.39370078740157483" header="0" footer="0"/>
  <pageSetup paperSize="9" orientation="portrait" r:id="rId1"/>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CD107F-4D89-45A3-B194-32B2222AB6A4}">
  <ds:schemaRefs>
    <ds:schemaRef ds:uri="http://schemas.microsoft.com/sharepoint/v3/contenttype/forms"/>
  </ds:schemaRefs>
</ds:datastoreItem>
</file>

<file path=customXml/itemProps2.xml><?xml version="1.0" encoding="utf-8"?>
<ds:datastoreItem xmlns:ds="http://schemas.openxmlformats.org/officeDocument/2006/customXml" ds:itemID="{945F4F9D-E50B-4574-BCBC-3B3F24AC9FE6}">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3.xml><?xml version="1.0" encoding="utf-8"?>
<ds:datastoreItem xmlns:ds="http://schemas.openxmlformats.org/officeDocument/2006/customXml" ds:itemID="{26947875-8898-402E-8DF3-1ABD81F14C90}"/>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18</cp:revision>
  <dcterms:created xsi:type="dcterms:W3CDTF">2020-11-30T09:10:29Z</dcterms:created>
  <dcterms:modified xsi:type="dcterms:W3CDTF">2025-07-10T14:44:55Z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