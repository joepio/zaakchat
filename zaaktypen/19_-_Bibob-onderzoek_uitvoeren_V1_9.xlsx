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https://vvng.sharepoint.com/sites/ActualisatieZTCPDC/Gedeelde documenten/General/ZTC/ZTC-Ow/"/>
    </mc:Choice>
  </mc:AlternateContent>
  <xr:revisionPtr revIDLastSave="381" documentId="13_ncr:1_{A4F5FE5F-2A62-4654-A3A8-C7CCB9E95562}" xr6:coauthVersionLast="47" xr6:coauthVersionMax="47" xr10:uidLastSave="{FE6A7A52-292B-4F4E-80F0-B54D14025659}"/>
  <bookViews>
    <workbookView xWindow="-120" yWindow="-16320" windowWidth="29040" windowHeight="15720" tabRatio="754" xr2:uid="{00000000-000D-0000-FFFF-FFFF00000000}"/>
  </bookViews>
  <sheets>
    <sheet name="Zaaktype" sheetId="1" r:id="rId1"/>
    <sheet name="Statussen" sheetId="2" r:id="rId2"/>
    <sheet name="Checklists" sheetId="13" r:id="rId3"/>
    <sheet name="Rollen" sheetId="3" r:id="rId4"/>
    <sheet name="Objecten" sheetId="4" r:id="rId5"/>
    <sheet name="Eigenschappen" sheetId="5" r:id="rId6"/>
    <sheet name="Informatieobjecten" sheetId="6" r:id="rId7"/>
    <sheet name="Besluiten" sheetId="7" r:id="rId8"/>
    <sheet name="Resultaten" sheetId="8" r:id="rId9"/>
    <sheet name="Deelzaken" sheetId="9" r:id="rId10"/>
    <sheet name="Gerelateerde zaken" sheetId="10" r:id="rId11"/>
    <sheet name="Afbeelding" sheetId="11" r:id="rId12"/>
    <sheet name="Figuur" sheetId="14" r:id="rId13"/>
  </sheets>
  <definedNames>
    <definedName name="_xlnm._FilterDatabase" localSheetId="7" hidden="1">Besluiten!$A$2:$B$2</definedName>
    <definedName name="_xlnm._FilterDatabase" localSheetId="4" hidden="1">Objecten!$A$2:$D$2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0" l="1"/>
  <c r="A1" i="9"/>
  <c r="A1" i="8"/>
  <c r="A1" i="7"/>
  <c r="A1" i="6"/>
  <c r="A1" i="5"/>
  <c r="A1" i="4"/>
  <c r="A1" i="3"/>
  <c r="A1" i="13"/>
  <c r="A1" i="2"/>
  <c r="A1" i="1"/>
</calcChain>
</file>

<file path=xl/sharedStrings.xml><?xml version="1.0" encoding="utf-8"?>
<sst xmlns="http://schemas.openxmlformats.org/spreadsheetml/2006/main" count="453" uniqueCount="314">
  <si>
    <t>Kenmerk</t>
  </si>
  <si>
    <t>Waarde</t>
  </si>
  <si>
    <t>IDENTIFICATIE</t>
  </si>
  <si>
    <t>OMSCHRIJVING</t>
  </si>
  <si>
    <t>Bibob-onderzoek uitvoeren</t>
  </si>
  <si>
    <t>CATEGORIE</t>
  </si>
  <si>
    <t>Evaluatie uitvoeren</t>
  </si>
  <si>
    <t>DOEL</t>
  </si>
  <si>
    <t>Het vaststellen van de integriteit van de aanvrager van een vergunning.</t>
  </si>
  <si>
    <t>AANLEIDING</t>
  </si>
  <si>
    <t>Deze zaak wordt intern getriggerd naar aanleiding van een aanvraag voor de in de Wet Bibob genoemde vergunningsoort, waarbij het nodig is om onderzoek te doen naar de integriteit van de aanvrager.</t>
  </si>
  <si>
    <t>TOELICHTING</t>
  </si>
  <si>
    <t>Dit zaaktype betreft het uitvoeren van een Bibob-onderzoek. Wanneer de gemeente een aanvraag heeft ontvangen voor de in de Wet Bibob genoemde vergunningsoort kan zij een onderzoek doen naar de integriteit van de aanvrager of de inschrijver. De gemeente kan hiervoor gebruik maken van de diensten van het Bureau Bibob. Deze zaak vormt een deelzaak van de vergunningsprocedure. Het resultaat van het onderzoek is herbruikbaar voor een periode van vijf jaar.</t>
  </si>
  <si>
    <t>INITIATIE EXTERN / INTERN</t>
  </si>
  <si>
    <t>Intern</t>
  </si>
  <si>
    <t>HANDELING INITIATOR</t>
  </si>
  <si>
    <t>Aanvraag</t>
  </si>
  <si>
    <t>ONDERWERP</t>
  </si>
  <si>
    <t>Bibob-onderzoek</t>
  </si>
  <si>
    <t>HANDELING BEHANDELAAR</t>
  </si>
  <si>
    <t>Uitvoeren</t>
  </si>
  <si>
    <t>DOORLOOPTIJD BEHANDELING (KALENDERDAGEN) (2.1)</t>
  </si>
  <si>
    <t>- DOORLOOPTIJD - PERIODE-EENHEID (2.2)</t>
  </si>
  <si>
    <t>Week</t>
  </si>
  <si>
    <t>- DOORLOOPTIJD - PERIODEDUUR (2.2)</t>
  </si>
  <si>
    <t>SERVICENORM BEHANDELING (KALENDERDAGEN) (2.1)</t>
  </si>
  <si>
    <t>OPSCHORTING / AANHOUDING MOGELIJK</t>
  </si>
  <si>
    <t>Nee</t>
  </si>
  <si>
    <t>VERLENGING MOGELIJK</t>
  </si>
  <si>
    <t>Ja</t>
  </si>
  <si>
    <t>VERLENGINGSTERMIJN</t>
  </si>
  <si>
    <t>TREFWOORDEN</t>
  </si>
  <si>
    <t>Bibob, onderzoek, controle</t>
  </si>
  <si>
    <t>VERTROUWELIJKHEIDAANDUIDING</t>
  </si>
  <si>
    <t>Zaakvertrouwelijk</t>
  </si>
  <si>
    <t>VERANTWOORDELIJKE</t>
  </si>
  <si>
    <t>PUBLICATIE-INDICATIE</t>
  </si>
  <si>
    <t>PUBLICATIETEKST</t>
  </si>
  <si>
    <t>PRODUCT / DIENST:</t>
  </si>
  <si>
    <t>- NAAM</t>
  </si>
  <si>
    <t>- LINK</t>
  </si>
  <si>
    <t>REFERENTIEPROCES:</t>
  </si>
  <si>
    <t>VERANTWOORDINGSRELATIE (2.2)</t>
  </si>
  <si>
    <t>ARCHIEFCLASSIFICATIE (2.2):</t>
  </si>
  <si>
    <t>- BRON</t>
  </si>
  <si>
    <t>Basisarchiefcode</t>
  </si>
  <si>
    <t>- CODE (2.1)</t>
  </si>
  <si>
    <t>-1.87</t>
  </si>
  <si>
    <t>- INDICATIE ZTC</t>
  </si>
  <si>
    <t>SELECTIELIJST PROCESTYPE (2.2):</t>
  </si>
  <si>
    <t>- NUMMER</t>
  </si>
  <si>
    <t>- PROCESOBJECTTYPE</t>
  </si>
  <si>
    <t>- SELECTIELIJST-OMSCHRIJVING</t>
  </si>
  <si>
    <t>VERSIEDATUM</t>
  </si>
  <si>
    <t>DATUM BEGIN GELDIGHEID</t>
  </si>
  <si>
    <t>DATUM EINDE GELDIGHEID</t>
  </si>
  <si>
    <t>Volgnr.</t>
  </si>
  <si>
    <t>Omschrijving</t>
  </si>
  <si>
    <t>Doorlooptijd - duur</t>
  </si>
  <si>
    <t>Doorlooptijd - eenheid (2.2)</t>
  </si>
  <si>
    <t>Informeren</t>
  </si>
  <si>
    <t>Statustekst</t>
  </si>
  <si>
    <t>Toelichting</t>
  </si>
  <si>
    <t>Verplichte informatieobjecten</t>
  </si>
  <si>
    <t>Verplichte zaakobjecten</t>
  </si>
  <si>
    <t>Verplichte eigenschappen</t>
  </si>
  <si>
    <t>Datum begin geldigheid</t>
  </si>
  <si>
    <t>1</t>
  </si>
  <si>
    <t>Zaak gestart</t>
  </si>
  <si>
    <t>De zaak is geregistreerd, maar is nog geen sprake van een afgeronde registratie. Bepaald is via welk kanaal / welke kanalen met de aanvrager gecommuniceerd wordt / moet worden.</t>
  </si>
  <si>
    <t>2</t>
  </si>
  <si>
    <t>Intake afgerond</t>
  </si>
  <si>
    <t xml:space="preserve">De zaak is geregistreerd en gerelateerd aan de zaak waarin gerelateerde aanvraag wordt behandeld.
De behandelend medewerker of het behandelend organisatieonderdeel is bepaald. </t>
  </si>
  <si>
    <t>3</t>
  </si>
  <si>
    <t>Onderzoek uitgevoerd</t>
  </si>
  <si>
    <t>Het eigen onderzoek en het onderzoek van het Landelijk Bureau Bibob is uitgevoerd. Het advies van het Landelijk Bureau Bibob is ontvangen.</t>
  </si>
  <si>
    <t>Formulier bevindingen eigen onderzoek
Verzoek advies bureau Bibob
Advies</t>
  </si>
  <si>
    <t>4</t>
  </si>
  <si>
    <t>Adviesrapport opgesteld</t>
  </si>
  <si>
    <t xml:space="preserve">Het adviesrapport naar aanleiding van het Bibob onderzoek is opgesteld. </t>
  </si>
  <si>
    <t>Adviesrapport (intern)</t>
  </si>
  <si>
    <t>5</t>
  </si>
  <si>
    <t>Zaak afgerond</t>
  </si>
  <si>
    <t>Het advies is verstrekt aan de behandelaar van de vergunningaanvraag. 
Indien nodig zijn vervolgacties in gang gezet (d.m.v. het plannen van andere zaken). Het zaakdossier is afgesloten en gearchiveerd.</t>
  </si>
  <si>
    <t>Statustype</t>
  </si>
  <si>
    <t>Itemnaam</t>
  </si>
  <si>
    <t>Vraagstelling</t>
  </si>
  <si>
    <t>Verplicht</t>
  </si>
  <si>
    <t>1 - Registratie</t>
  </si>
  <si>
    <t>Zijn de gegevens compleet?</t>
  </si>
  <si>
    <t>Controleer of alle documenten en gegevens die binnen zijn gekomen ten behoeve van deze zaak, correct geregistreerd zijn in de zaak.</t>
  </si>
  <si>
    <t>1 - Controle verzoek</t>
  </si>
  <si>
    <t>Voldoet het verzoek aan de indieningsvereisten?</t>
  </si>
  <si>
    <t>Controleer of het verzoek voldoet aan de indieningsvereisten.</t>
  </si>
  <si>
    <t>2 - Verzoek aanvullende gegevens</t>
  </si>
  <si>
    <t>Zijn er aanvullende gegevens nodig?</t>
  </si>
  <si>
    <t>Verzoek om aanvullende gegevens als het verzoek nog niet voldoet aan de indieningsvereisten.</t>
  </si>
  <si>
    <t>1 - Verzenden vragenformulier</t>
  </si>
  <si>
    <t>Is het vragenformulier verzonden?</t>
  </si>
  <si>
    <t>Verzend het vragenformulier</t>
  </si>
  <si>
    <t>2 - Openbare bronnen raadplegen</t>
  </si>
  <si>
    <t>Zijn de openbare bronnen geraadpleegd?</t>
  </si>
  <si>
    <t>Raadpleeg beschikbare openbare bronnen zoals de basisregistraties, kadaster e.d. om de aangeleverde informatie te controleren</t>
  </si>
  <si>
    <t>3 - Extern advies vragen</t>
  </si>
  <si>
    <t>Is er extern advies aangevraagd?</t>
  </si>
  <si>
    <t>Genereer en verzend het verzoekformulier artikel 11a aan het Landelijk Bureau Bibob en vraag hiermee extern advies aan.</t>
  </si>
  <si>
    <t>4 - Extern advies ontvangen</t>
  </si>
  <si>
    <t>Is het externe advies ontvangen?</t>
  </si>
  <si>
    <t>Controleer of het externe advies van het Landelijk Bureau Bibob is ontvangen. Dit kan 8 tot 12 weken duren</t>
  </si>
  <si>
    <t>1 - Bevindingen eigen onderzoek</t>
  </si>
  <si>
    <t>Is het formulier bevindingen eigen onderzoek ingevuld?</t>
  </si>
  <si>
    <t>Vul het formulier bevindingen eigen onderzoek in.</t>
  </si>
  <si>
    <t>2 - Adviesrapport opstellen</t>
  </si>
  <si>
    <t>Is het concept adviesrapport opgesteld?</t>
  </si>
  <si>
    <t>Stel het concept adviesrapport op en verwerk hierin de bevindingen en conclusies van het Landelijk Bureau Bibob en de bevindingen uit het eigen onderzoek. 
Een BIBOB-advies kan drie uitkomsten hebben:
- er is geen gevaar dat de gewenste beschikking wordt misbruikt voor criminele activiteiten, zodat de beschikking kan worden afgegeven;
- er bestaat een mindere mate van gevaar dat de beschikking zal worden misbruikt voor criminele activiteiten, zodat extra voorwaarden kunnen worden gesteld bij de beschikking;
- er bestaat een ernstig gevaar van misbruik van de beschikking, zodat het bestuursorgaan negatief kan beschikken.</t>
  </si>
  <si>
    <t>3 - Collegiaal toetsen</t>
  </si>
  <si>
    <t>Is het nodig om het concept adviesrapport collegiaal te laten toetsen?</t>
  </si>
  <si>
    <t>Laat het concept adviesrapport collegiaal toetsen indien nodig.</t>
  </si>
  <si>
    <t>4 - Vaststellen adviesrapport</t>
  </si>
  <si>
    <t>Is het adviesrapport vastgesteld?</t>
  </si>
  <si>
    <t>Laat het adviesrapport accorderen door gemachtigde.</t>
  </si>
  <si>
    <t>1 - Advies leveren</t>
  </si>
  <si>
    <t>Is het advies geleverd aan de aanvrager?</t>
  </si>
  <si>
    <t>Lever het advies aan de aanvrager, zodat deze verder kan met de aanvraag die is ontvangen.</t>
  </si>
  <si>
    <t>2 - Archivering</t>
  </si>
  <si>
    <t>Is het zaakdossier compleet en archiefwaardig?</t>
  </si>
  <si>
    <t>Gecontroleerd wordt of het zaakdossier alle relevante informatie bevat en is ontdaan van - voor de reproductie van / verantwoording over de procesgang - niet relevante informatie. Alle in het zaakdossier vastgelegde informatie is of wordt voorzien van de voor archivering vereiste metadata en is of wordt opgeslagen in een duurzaam toegankelijk (bestands)formaat.</t>
  </si>
  <si>
    <t>3 - Vervolgzaak</t>
  </si>
  <si>
    <t>Zijn de voor deze zaak relevante vervolgzaken gepland?</t>
  </si>
  <si>
    <t>Een zaak van onderhavig zaaktype kan een vervolgzaak vereisen, bijvoorbeeld het uitvoeren van een (extra) controle (een zaak van het zaaktype 'Controle uitvoeren') om te verifiëren dat de overtreding niet opnieuw optreedt.
De feitelijke invordering van de met de bestuursdwang gemoeide kosten - zoals vastgelegd in de beschikking voor het kostenverhaal - wordt beschouwd als een financieel administratief proces en is geen onderdeel van onderhavig zaaktype.</t>
  </si>
  <si>
    <t>Omschrijving generiek</t>
  </si>
  <si>
    <t>Soort betrokkene</t>
  </si>
  <si>
    <t>Mag zetten Statustype</t>
  </si>
  <si>
    <t>Medewerker Bibob</t>
  </si>
  <si>
    <t>Behandelaar</t>
  </si>
  <si>
    <t>Medewerker</t>
  </si>
  <si>
    <t>1- Zaak gestart
2 - Intake afgerond
3 - Onderzoek uitgevoerd
4 - Adviesrapport opgesteld
5 - Zaak afgerond</t>
  </si>
  <si>
    <t>Adviseur</t>
  </si>
  <si>
    <t>Belanghebbende</t>
  </si>
  <si>
    <t>Natuurlijk persoon, Niet-natuurlijk persoon, Vestiging</t>
  </si>
  <si>
    <t>Bevoegd gezag</t>
  </si>
  <si>
    <t>Bevoegd gezag dat het bestreden besluit heeft genomen</t>
  </si>
  <si>
    <t>Zaakverantwoordelijke</t>
  </si>
  <si>
    <t>Beslisser</t>
  </si>
  <si>
    <t>Initiator</t>
  </si>
  <si>
    <t>Naam objecttype</t>
  </si>
  <si>
    <t>Niet-RSGB/RGBZ- objecttype?</t>
  </si>
  <si>
    <t>Omschrijving relatie met zaaktype</t>
  </si>
  <si>
    <t>ANDER BUITENLANDS NIET-NATUURLIJK PERSOON</t>
  </si>
  <si>
    <t>nee</t>
  </si>
  <si>
    <t>Ander buitenlands niet-natuurlijk persoon waarop de zaak betrekking heeft.</t>
  </si>
  <si>
    <t>ANDER NATUURLIJK PERSOON</t>
  </si>
  <si>
    <t>Ander natuurlijk persoon waarop de zaak betrekking heeft.</t>
  </si>
  <si>
    <t>APPARTEMENTSRECHT</t>
  </si>
  <si>
    <t>Appartementsrecht waarop de zaak betrekking heeft.</t>
  </si>
  <si>
    <t>BESLUIT</t>
  </si>
  <si>
    <t>Het eerder genomen besluit waartegen het bezwaar zich richt.</t>
  </si>
  <si>
    <t>BUURT</t>
  </si>
  <si>
    <t>Buurt waarop de zaak betrekking heeft.</t>
  </si>
  <si>
    <t>ENKELVOUDIG DOCUMENT</t>
  </si>
  <si>
    <t>Enkelvoudig document waarop de zaak betrekking heeft.</t>
  </si>
  <si>
    <t>GEMEENTE</t>
  </si>
  <si>
    <t>Gemeente waarop de zaak betrekking heeft.</t>
  </si>
  <si>
    <t>GEMEENTELIJKE OPENBARE RUIMTE</t>
  </si>
  <si>
    <t>Gemeentelijke openbare ruimte waarop de zaak betrekking heeft.</t>
  </si>
  <si>
    <t>HANDHAVINGSOBJECT</t>
  </si>
  <si>
    <t>Handhavingsobject waarop de zaak betrekking heeft.</t>
  </si>
  <si>
    <t>HUISHOUDEN</t>
  </si>
  <si>
    <t>Huishouden waarop de zaak betrekking heeft.</t>
  </si>
  <si>
    <t>INGESCHREVEN NIET-NATUURLIJK PERSOON</t>
  </si>
  <si>
    <t>Ingeschreven niet-natuurlijk persoon waarop de zaak betrekking heeft.</t>
  </si>
  <si>
    <t>INGEZETENE</t>
  </si>
  <si>
    <t>Ingezetene waarop de zaak betrekking heeft.</t>
  </si>
  <si>
    <t>INRICHTINGSELEMENT</t>
  </si>
  <si>
    <t>Inrichtingselement waarop de zaak betrekking heeft.</t>
  </si>
  <si>
    <t>KADASTRAAL PERCEEL</t>
  </si>
  <si>
    <t>Kadastraal perceel waarop de zaak betrekking heeft.</t>
  </si>
  <si>
    <t>KUNSTWERKDEEL</t>
  </si>
  <si>
    <t>Kunstwerkdeel waarop de zaak betrekking heeft.</t>
  </si>
  <si>
    <t>LIGPLAATS</t>
  </si>
  <si>
    <t>Ligplaats waarop de zaak betrekking heeft.</t>
  </si>
  <si>
    <t>LOCATIE</t>
  </si>
  <si>
    <t>De geografische locatie waarop de zaak betrekking heeft indien deze niet geduid kan worden met een of één handhavingsobject.</t>
  </si>
  <si>
    <t>MAATSCHAPPELIJKE ACTIVITEIT</t>
  </si>
  <si>
    <t>Maatschappelijke activiteit waarop de zaak betrekking heeft.</t>
  </si>
  <si>
    <t>MEDEWERKER</t>
  </si>
  <si>
    <t>Medewerker waarop de zaak betrekking heeft.</t>
  </si>
  <si>
    <t>NIET-INGEZETENE</t>
  </si>
  <si>
    <t>Niet-ingezetene waarop de zaak betrekking heeft.</t>
  </si>
  <si>
    <t>NUMMER­AANDUIDING</t>
  </si>
  <si>
    <t>Nummeraanduiding waarop de zaak betrekking heeft.</t>
  </si>
  <si>
    <t>OPENBARE RUIMTE</t>
  </si>
  <si>
    <t>Openbare ruimte waarop de zaak betrekking heeft.</t>
  </si>
  <si>
    <t>ORGANISATORISCHE EENHEID</t>
  </si>
  <si>
    <t>Organisatorische eenheid waarop de zaak betrekking heeft.</t>
  </si>
  <si>
    <t>OVERIGE ADRESSEERBAAR OBJECT AANDUIDING</t>
  </si>
  <si>
    <t>Overige adresseerbaar object aanduiding waarop de zaak betrekking heeft.</t>
  </si>
  <si>
    <t>OVERIG GEBOUWD OBJECT</t>
  </si>
  <si>
    <t>Overig gebouwd object waarop de zaak betrekking heeft.</t>
  </si>
  <si>
    <t>OVERIG TERREIN</t>
  </si>
  <si>
    <t>Overig terrein waarop de zaak betrekking heeft.</t>
  </si>
  <si>
    <t>PAND</t>
  </si>
  <si>
    <t>Pand waarop de zaak betrekking heeft.</t>
  </si>
  <si>
    <t>SAMENGESTELD DOCUMENT</t>
  </si>
  <si>
    <t>Samengesteld informatieobject waarop de zaak betrekking heeft.</t>
  </si>
  <si>
    <t>SPOORBAANDEEL</t>
  </si>
  <si>
    <t>Spoorbaandeel waarop de zaak betrekking heeft.</t>
  </si>
  <si>
    <t>STANDPLAATS</t>
  </si>
  <si>
    <t>Standplaats waarop de zaak betrekking heeft.</t>
  </si>
  <si>
    <t>STATUS</t>
  </si>
  <si>
    <t>Status waarop de zaak betrekking heeft.</t>
  </si>
  <si>
    <t>TERREINDEEL</t>
  </si>
  <si>
    <t>Terreindeel waarop de zaak betrekking heeft.</t>
  </si>
  <si>
    <t>VERBLIJFSOBJECT</t>
  </si>
  <si>
    <t>Verblijfsobject waarop de zaak betrekking heeft.</t>
  </si>
  <si>
    <t>VESTIGING</t>
  </si>
  <si>
    <t>Vestiging waarop de zaak betrekking heeft.</t>
  </si>
  <si>
    <t>VTH-BEHEEROBJECT</t>
  </si>
  <si>
    <t>ja</t>
  </si>
  <si>
    <t>Het object (werk, verzameling werkzaamheden) waarop de zaak betrekking heeft en waarop, indien van toepassing, toezicht betrekking gaat hebben, voor zover hiervan een registratie is dan wel in die registratie wordt opgenomen.</t>
  </si>
  <si>
    <t>WATERDEEL</t>
  </si>
  <si>
    <t>Waterdeel waarop de zaak betrekking heeft.</t>
  </si>
  <si>
    <t>WEGDEEL</t>
  </si>
  <si>
    <t>Wegdeel waarop de zaak betrekking heeft.</t>
  </si>
  <si>
    <t>WIJK</t>
  </si>
  <si>
    <t>Wijk waarop de zaak betrekking heeft.</t>
  </si>
  <si>
    <t>WOONPLAATS</t>
  </si>
  <si>
    <t>Woonplaats waarop de zaak betrekking heeft.</t>
  </si>
  <si>
    <t>WOZ-DEELOBJECT</t>
  </si>
  <si>
    <t>WOZ-deelobject waarop de zaak betrekking heeft.</t>
  </si>
  <si>
    <t>WOZ-OBJECT</t>
  </si>
  <si>
    <t>WOZ-object waarop de zaak betrekking heeft.</t>
  </si>
  <si>
    <t>WOZ-WAARDE</t>
  </si>
  <si>
    <t>WOZ-waarde waarop de zaak betrekking heeft.</t>
  </si>
  <si>
    <t>ZAKELIJK RECHT</t>
  </si>
  <si>
    <t>Zakelijk recht waarop de zaak betrekking heeft.</t>
  </si>
  <si>
    <t>Naam</t>
  </si>
  <si>
    <t>Definitie</t>
  </si>
  <si>
    <t>Groep</t>
  </si>
  <si>
    <t>Formaat</t>
  </si>
  <si>
    <t>Lengte</t>
  </si>
  <si>
    <t>Kardinaliteit</t>
  </si>
  <si>
    <t>Waardenverzameling</t>
  </si>
  <si>
    <t>Projectnummer</t>
  </si>
  <si>
    <t>Uniek nummer van het project waarop de zaak betrekking heeft.</t>
  </si>
  <si>
    <t>Getal</t>
  </si>
  <si>
    <t>Zaken van één of meer zaaktypen kunnen met elkaar samenhangen zonder dat die samenhang blijkt uit de aan individuele zaken gerelateerde subjecten of objecten. Denk bijvoorbeeld aan de ontwikkeling van een nieuwbouwwijk of de aanleg van een (auto/spoor/water)weg (waarvoor vergunningen worden verleend, waarvoor meldingen worden gedaan, waarop toezicht wordt gehouden, en waar handhavend wordt opgetreden, et cetera). Door aan al deze zaken één projectnummer te verbinden, kunnen eenvoudig alle met dat project samenhangende zaken in beeld worden gebracht.</t>
  </si>
  <si>
    <t>Uitkomst</t>
  </si>
  <si>
    <t>De uitkomst van de behandeling van het Bibob onderzoek.</t>
  </si>
  <si>
    <t>Tekst</t>
  </si>
  <si>
    <t>Volgnummer</t>
  </si>
  <si>
    <t>Richting</t>
  </si>
  <si>
    <t>Informatieobjecttype</t>
  </si>
  <si>
    <t>Inkomend</t>
  </si>
  <si>
    <t>Advies</t>
  </si>
  <si>
    <t>Adviesrapport</t>
  </si>
  <si>
    <t>Formulier bevindingen eigen onderzoek</t>
  </si>
  <si>
    <t>Indicatorenlijst milieubranche</t>
  </si>
  <si>
    <t>Indicatorenlijst openbare inrichtingen</t>
  </si>
  <si>
    <t>Indicatorenlijst subsidies</t>
  </si>
  <si>
    <t>Indicatorenlijst vastgoedtransacties</t>
  </si>
  <si>
    <t>Uitgaand</t>
  </si>
  <si>
    <t>Verzoek om aanvullende informatie</t>
  </si>
  <si>
    <t>Vragenformulier overheidsopdrachten</t>
  </si>
  <si>
    <t>Vragenformulier overige beschikkingen</t>
  </si>
  <si>
    <t>Vragenformulier subsidiebeschikkingen</t>
  </si>
  <si>
    <t>Vragenformulier vastgoedtransacties</t>
  </si>
  <si>
    <t>Vragenformulier vergunningen</t>
  </si>
  <si>
    <t>Bibob-adviesaanvraag</t>
  </si>
  <si>
    <t>Herinnering aanleveren gegevens BIBOB</t>
  </si>
  <si>
    <t>Kennisgeving Bibob-advies aan derden</t>
  </si>
  <si>
    <t>Kennisgeving onderzoek Bibob aan betrokkene</t>
  </si>
  <si>
    <t>Procesverantwoording</t>
  </si>
  <si>
    <t>Besluittype</t>
  </si>
  <si>
    <t>OMSCHRIJVING (2.1)</t>
  </si>
  <si>
    <t>BEVOEGD GEZAG</t>
  </si>
  <si>
    <t>OMSCHRIJVING GENERIEK</t>
  </si>
  <si>
    <t>OMSCHRIJVING (2.2)</t>
  </si>
  <si>
    <t>PROCESOBJECTAARD (2.2)</t>
  </si>
  <si>
    <t>INDICATIE SPECIFIEK (2.2)</t>
  </si>
  <si>
    <t>SELECTIELIJST-KLASSE</t>
  </si>
  <si>
    <t>ARCHIEFNOMINATIE</t>
  </si>
  <si>
    <t>PROCES-TERMIJN</t>
  </si>
  <si>
    <t>ARCHIEF-ACTIETERMIJN (mnd)</t>
  </si>
  <si>
    <t>BRONDATUM ARCHIEFPROCEDURE (2.1)</t>
  </si>
  <si>
    <t>BRONDAT.  ARCH.PROC. (2.2) AFLEIDINGSWIJZE</t>
  </si>
  <si>
    <t>BRONDAT.  ARCH.PROC. (2.2) DATUMKENMERK</t>
  </si>
  <si>
    <t>BRONDAT.  ARCH.PROC. (2.2) EINDDATUM BEKEND</t>
  </si>
  <si>
    <t>BRONDAT.  ARCH.PROC. (2.2) OBJECTTYPE</t>
  </si>
  <si>
    <t>BRONDAT.  ARCH.PROC. (2.2) REGISTRATIE</t>
  </si>
  <si>
    <t>AFWIJKEND ARCHIEFREGIME VAN ZAAK-INFORMATIEOBJECTTYPEN</t>
  </si>
  <si>
    <t>VERPLICHTE ZAAKOBJECTTYPEN</t>
  </si>
  <si>
    <t>VERPLICHTE INFORMATIEOBJECTTYPEN</t>
  </si>
  <si>
    <t>LEIDT TOT BESLUITTYPE</t>
  </si>
  <si>
    <t>DATUM BEGIN GELDGHEID</t>
  </si>
  <si>
    <t>Opmerkingen</t>
  </si>
  <si>
    <t>Uitgevoerd</t>
  </si>
  <si>
    <t>gem</t>
  </si>
  <si>
    <t>4.1.12</t>
  </si>
  <si>
    <t xml:space="preserve">Vernietigen </t>
  </si>
  <si>
    <t>Afgehandeld</t>
  </si>
  <si>
    <t>Afgebroken</t>
  </si>
  <si>
    <t>4.2</t>
  </si>
  <si>
    <t>Het onderzoek is afgebroken. Deze is foutief ingeboekt</t>
  </si>
  <si>
    <t>ws</t>
  </si>
  <si>
    <t>0.0</t>
  </si>
  <si>
    <t>Vernietigen</t>
  </si>
  <si>
    <t>DEELZAAKTYPE</t>
  </si>
  <si>
    <t>Gerelateerd zaaktype</t>
  </si>
  <si>
    <t>Aard relatie</t>
  </si>
  <si>
    <t>10 - Aanvraag beschikking regulier behandelen</t>
  </si>
  <si>
    <t>Deelzaak</t>
  </si>
  <si>
    <t xml:space="preserve">Een zaak van het zaaktype (19) wordt uitgevoerd wanneer er twijfel is over de integriteit van de aanvrager van de beschikking. </t>
  </si>
  <si>
    <t>11 - Aanvraag beschikking uitgebreid behandelen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</si>
</sst>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Liberation Sans"/>
      <family val="2"/>
    </font>
    <font>
      <sz val="11"/>
      <color theme="1"/>
      <name val="Liberation Sans"/>
      <family val="2"/>
    </font>
    <font>
      <b/>
      <sz val="10"/>
      <color rgb="FF000000"/>
      <name val="Liberation Sans"/>
      <family val="2"/>
    </font>
    <font>
      <sz val="10"/>
      <color rgb="FFFFFFFF"/>
      <name val="Liberation Sans"/>
      <family val="2"/>
    </font>
    <font>
      <sz val="10"/>
      <color rgb="FFCC0000"/>
      <name val="Liberation Sans"/>
      <family val="2"/>
    </font>
    <font>
      <b/>
      <sz val="10"/>
      <color rgb="FFFFFFFF"/>
      <name val="Liberation Sans"/>
      <family val="2"/>
    </font>
    <font>
      <i/>
      <sz val="10"/>
      <color rgb="FF808080"/>
      <name val="Liberation Sans"/>
      <family val="2"/>
    </font>
    <font>
      <sz val="10"/>
      <color rgb="FF006600"/>
      <name val="Liberation Sans"/>
      <family val="2"/>
    </font>
    <font>
      <b/>
      <sz val="24"/>
      <color rgb="FF000000"/>
      <name val="Liberation Sans"/>
      <family val="2"/>
    </font>
    <font>
      <sz val="18"/>
      <color rgb="FF000000"/>
      <name val="Liberation Sans"/>
      <family val="2"/>
    </font>
    <font>
      <sz val="12"/>
      <color rgb="FF000000"/>
      <name val="Liberation Sans"/>
      <family val="2"/>
    </font>
    <font>
      <u/>
      <sz val="10"/>
      <color rgb="FF0000EE"/>
      <name val="Liberation Sans"/>
      <family val="2"/>
    </font>
    <font>
      <sz val="10"/>
      <color rgb="FF996600"/>
      <name val="Liberation Sans"/>
      <family val="2"/>
    </font>
    <font>
      <sz val="10"/>
      <color rgb="FF333333"/>
      <name val="Liberation Sans"/>
      <family val="2"/>
    </font>
    <font>
      <b/>
      <i/>
      <u/>
      <sz val="10"/>
      <color rgb="FF000000"/>
      <name val="Liberation Sans"/>
      <family val="2"/>
    </font>
    <font>
      <sz val="10"/>
      <color theme="1"/>
      <name val="Arial"/>
      <family val="2"/>
    </font>
    <font>
      <sz val="10"/>
      <color theme="1"/>
      <name val="Liberation Sans"/>
      <family val="2"/>
    </font>
    <font>
      <b/>
      <sz val="10"/>
      <color theme="1"/>
      <name val="Arial"/>
      <family val="2"/>
    </font>
    <font>
      <sz val="8"/>
      <name val="Liberation Sans"/>
      <family val="2"/>
    </font>
    <font>
      <sz val="10"/>
      <name val="Arial"/>
      <family val="2"/>
    </font>
    <font>
      <b/>
      <sz val="10"/>
      <name val="Arial"/>
      <family val="2"/>
    </font>
    <font>
      <sz val="10"/>
      <name val="Arial"/>
      <family val="2"/>
    </font>
    <font>
      <b/>
      <sz val="10"/>
      <name val="Liberation Sans"/>
      <family val="2"/>
    </font>
    <font>
      <sz val="10"/>
      <name val="Liberation Sans"/>
      <family val="2"/>
    </font>
    <font>
      <sz val="10"/>
      <color rgb="FF000000"/>
      <name val="Arial"/>
      <family val="2"/>
    </font>
  </fonts>
  <fills count="10">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theme="0" tint="-0.14999847407452621"/>
        <bgColor indexed="64"/>
      </patternFill>
    </fill>
  </fills>
  <borders count="3">
    <border>
      <left/>
      <right/>
      <top/>
      <bottom/>
      <diagonal/>
    </border>
    <border>
      <left style="thin">
        <color rgb="FF808080"/>
      </left>
      <right style="thin">
        <color rgb="FF808080"/>
      </right>
      <top style="thin">
        <color rgb="FF808080"/>
      </top>
      <bottom style="thin">
        <color rgb="FF808080"/>
      </bottom>
      <diagonal/>
    </border>
    <border>
      <left/>
      <right/>
      <top/>
      <bottom style="thin">
        <color indexed="64"/>
      </bottom>
      <diagonal/>
    </border>
  </borders>
  <cellStyleXfs count="19">
    <xf numFmtId="0" fontId="0" fillId="0" borderId="0"/>
    <xf numFmtId="0" fontId="2" fillId="0" borderId="0"/>
    <xf numFmtId="0" fontId="3" fillId="2" borderId="0"/>
    <xf numFmtId="0" fontId="3" fillId="3" borderId="0"/>
    <xf numFmtId="0" fontId="2" fillId="4" borderId="0"/>
    <xf numFmtId="0" fontId="4" fillId="5" borderId="0"/>
    <xf numFmtId="0" fontId="5" fillId="6" borderId="0"/>
    <xf numFmtId="0" fontId="6" fillId="0" borderId="0"/>
    <xf numFmtId="0" fontId="7" fillId="7" borderId="0"/>
    <xf numFmtId="0" fontId="8" fillId="0" borderId="0"/>
    <xf numFmtId="0" fontId="9" fillId="0" borderId="0"/>
    <xf numFmtId="0" fontId="10" fillId="0" borderId="0"/>
    <xf numFmtId="0" fontId="11" fillId="0" borderId="0"/>
    <xf numFmtId="0" fontId="12" fillId="8" borderId="0"/>
    <xf numFmtId="0" fontId="13" fillId="8" borderId="1"/>
    <xf numFmtId="0" fontId="14" fillId="0" borderId="0"/>
    <xf numFmtId="0" fontId="1" fillId="0" borderId="0"/>
    <xf numFmtId="0" fontId="1" fillId="0" borderId="0"/>
    <xf numFmtId="0" fontId="4" fillId="0" borderId="0"/>
  </cellStyleXfs>
  <cellXfs count="49">
    <xf numFmtId="0" fontId="0" fillId="0" borderId="0" xfId="0"/>
    <xf numFmtId="0" fontId="15" fillId="0" borderId="0" xfId="0" applyFont="1" applyAlignment="1">
      <alignment horizontal="left" vertical="top" wrapText="1"/>
    </xf>
    <xf numFmtId="0" fontId="16" fillId="0" borderId="0" xfId="0" applyFont="1" applyAlignment="1">
      <alignment horizontal="left" vertical="top" wrapText="1"/>
    </xf>
    <xf numFmtId="0" fontId="17" fillId="0" borderId="0" xfId="0" applyFont="1" applyAlignment="1">
      <alignment horizontal="left" vertical="top" wrapText="1"/>
    </xf>
    <xf numFmtId="0" fontId="0" fillId="0" borderId="0" xfId="0" applyAlignment="1">
      <alignment wrapText="1"/>
    </xf>
    <xf numFmtId="0" fontId="19" fillId="0" borderId="0" xfId="0" quotePrefix="1" applyFont="1" applyAlignment="1">
      <alignment horizontal="left" vertical="top" wrapText="1"/>
    </xf>
    <xf numFmtId="0" fontId="19" fillId="0" borderId="0" xfId="0" applyFont="1" applyAlignment="1">
      <alignment horizontal="left" vertical="top" wrapText="1"/>
    </xf>
    <xf numFmtId="0" fontId="20" fillId="0" borderId="0" xfId="0" applyFont="1" applyAlignment="1">
      <alignment horizontal="left" vertical="top" wrapText="1"/>
    </xf>
    <xf numFmtId="0" fontId="20" fillId="0" borderId="0" xfId="0" quotePrefix="1" applyFont="1" applyAlignment="1">
      <alignment horizontal="left" vertical="top" wrapText="1"/>
    </xf>
    <xf numFmtId="0" fontId="15" fillId="0" borderId="0" xfId="0" applyFont="1" applyAlignment="1">
      <alignment horizontal="left" vertical="top"/>
    </xf>
    <xf numFmtId="0" fontId="17" fillId="0" borderId="0" xfId="0" applyFont="1" applyAlignment="1">
      <alignment horizontal="left" vertical="top"/>
    </xf>
    <xf numFmtId="0" fontId="16" fillId="0" borderId="0" xfId="0" applyFont="1"/>
    <xf numFmtId="0" fontId="19" fillId="0" borderId="0" xfId="12" applyFont="1" applyAlignment="1">
      <alignment vertical="top" wrapText="1"/>
    </xf>
    <xf numFmtId="0" fontId="17" fillId="0" borderId="0" xfId="0" applyFont="1" applyAlignment="1">
      <alignment vertical="top"/>
    </xf>
    <xf numFmtId="14" fontId="15" fillId="0" borderId="0" xfId="0" applyNumberFormat="1" applyFont="1" applyAlignment="1">
      <alignment horizontal="left" vertical="top"/>
    </xf>
    <xf numFmtId="0" fontId="20" fillId="0" borderId="0" xfId="0" applyFont="1" applyAlignment="1">
      <alignment wrapText="1"/>
    </xf>
    <xf numFmtId="0" fontId="24" fillId="0" borderId="0" xfId="0" applyFont="1" applyAlignment="1">
      <alignment horizontal="left" vertical="top"/>
    </xf>
    <xf numFmtId="0" fontId="20" fillId="0" borderId="0" xfId="0" applyFont="1" applyAlignment="1">
      <alignment horizontal="left" vertical="top"/>
    </xf>
    <xf numFmtId="0" fontId="20" fillId="9" borderId="0" xfId="0" applyFont="1" applyFill="1" applyAlignment="1">
      <alignment horizontal="left" vertical="top"/>
    </xf>
    <xf numFmtId="0" fontId="22" fillId="0" borderId="0" xfId="0" applyFont="1" applyAlignment="1">
      <alignment vertical="top"/>
    </xf>
    <xf numFmtId="14" fontId="15" fillId="0" borderId="0" xfId="0" applyNumberFormat="1" applyFont="1" applyAlignment="1">
      <alignment horizontal="left" vertical="top" wrapText="1"/>
    </xf>
    <xf numFmtId="0" fontId="21" fillId="0" borderId="0" xfId="0" applyFont="1" applyAlignment="1">
      <alignment horizontal="left" vertical="top"/>
    </xf>
    <xf numFmtId="0" fontId="21" fillId="0" borderId="0" xfId="0" applyFont="1" applyAlignment="1">
      <alignment vertical="top"/>
    </xf>
    <xf numFmtId="0" fontId="21" fillId="0" borderId="0" xfId="0" applyFont="1"/>
    <xf numFmtId="0" fontId="21" fillId="0" borderId="0" xfId="0" applyFont="1" applyAlignment="1">
      <alignment horizontal="left" vertical="top" wrapText="1"/>
    </xf>
    <xf numFmtId="0" fontId="16" fillId="0" borderId="0" xfId="0" applyFont="1" applyAlignment="1">
      <alignment wrapText="1"/>
    </xf>
    <xf numFmtId="0" fontId="23" fillId="0" borderId="0" xfId="0" applyFont="1" applyAlignment="1">
      <alignment vertical="top" wrapText="1"/>
    </xf>
    <xf numFmtId="0" fontId="19" fillId="0" borderId="0" xfId="0" applyFont="1" applyAlignment="1">
      <alignment vertical="top" wrapText="1"/>
    </xf>
    <xf numFmtId="0" fontId="20" fillId="0" borderId="0" xfId="0" applyFont="1" applyAlignment="1">
      <alignment vertical="top"/>
    </xf>
    <xf numFmtId="0" fontId="19" fillId="0" borderId="0" xfId="0" applyFont="1" applyAlignment="1">
      <alignment vertical="top"/>
    </xf>
    <xf numFmtId="0" fontId="20" fillId="0" borderId="0" xfId="0" applyFont="1" applyAlignment="1">
      <alignment vertical="top" wrapText="1"/>
    </xf>
    <xf numFmtId="0" fontId="19" fillId="0" borderId="0" xfId="0" applyFont="1" applyAlignment="1">
      <alignment horizontal="left" vertical="top"/>
    </xf>
    <xf numFmtId="0" fontId="19" fillId="0" borderId="2" xfId="0" applyFont="1" applyBorder="1" applyAlignment="1">
      <alignment horizontal="left" vertical="top" wrapText="1"/>
    </xf>
    <xf numFmtId="0" fontId="20" fillId="0" borderId="2" xfId="0" applyFont="1" applyBorder="1" applyAlignment="1">
      <alignment horizontal="left" vertical="top" wrapText="1"/>
    </xf>
    <xf numFmtId="0" fontId="19" fillId="0" borderId="2" xfId="0" applyFont="1" applyBorder="1" applyAlignment="1">
      <alignment vertical="top" wrapText="1"/>
    </xf>
    <xf numFmtId="0" fontId="19" fillId="0" borderId="2" xfId="12" applyFont="1" applyBorder="1" applyAlignment="1">
      <alignment vertical="top" wrapText="1"/>
    </xf>
    <xf numFmtId="0" fontId="19" fillId="0" borderId="2" xfId="0" applyFont="1" applyBorder="1" applyAlignment="1">
      <alignment vertical="top"/>
    </xf>
    <xf numFmtId="0" fontId="19" fillId="0" borderId="2" xfId="0" applyFont="1" applyBorder="1" applyAlignment="1">
      <alignment horizontal="left" vertical="top"/>
    </xf>
    <xf numFmtId="0" fontId="22" fillId="0" borderId="0" xfId="0" applyFont="1" applyAlignment="1">
      <alignment vertical="top" wrapText="1"/>
    </xf>
    <xf numFmtId="0" fontId="23" fillId="0" borderId="0" xfId="0" applyFont="1" applyAlignment="1">
      <alignment vertical="top"/>
    </xf>
    <xf numFmtId="0" fontId="17" fillId="0" borderId="0" xfId="0" applyFont="1" applyAlignment="1">
      <alignment vertical="top" wrapText="1"/>
    </xf>
    <xf numFmtId="0" fontId="20" fillId="0" borderId="0" xfId="0" applyFont="1" applyAlignment="1">
      <alignment horizontal="left" vertical="top"/>
    </xf>
    <xf numFmtId="0" fontId="17" fillId="0" borderId="0" xfId="0" applyFont="1" applyAlignment="1">
      <alignment horizontal="left" vertical="top"/>
    </xf>
    <xf numFmtId="0" fontId="17" fillId="0" borderId="0" xfId="0" applyFont="1" applyAlignment="1">
      <alignment vertical="top"/>
    </xf>
    <xf numFmtId="0" fontId="17" fillId="0" borderId="0" xfId="0" applyFont="1" applyAlignment="1">
      <alignment horizontal="left" vertical="top" wrapText="1"/>
    </xf>
    <xf numFmtId="0" fontId="19" fillId="0" borderId="0" xfId="0" applyFont="1" applyFill="1" applyAlignment="1">
      <alignment horizontal="left" vertical="top"/>
    </xf>
    <xf numFmtId="0" fontId="19" fillId="0" borderId="0" xfId="0" applyFont="1" applyFill="1" applyAlignment="1">
      <alignment wrapText="1"/>
    </xf>
    <xf numFmtId="0" fontId="19" fillId="0" borderId="0" xfId="0" applyFont="1" applyFill="1"/>
    <xf numFmtId="0" fontId="23" fillId="0" borderId="0" xfId="0" applyFont="1" applyFill="1"/>
  </cellXfs>
  <cellStyles count="19">
    <cellStyle name="Accent" xfId="1" xr:uid="{00000000-0005-0000-0000-000000000000}"/>
    <cellStyle name="Accent 1" xfId="2" xr:uid="{00000000-0005-0000-0000-000001000000}"/>
    <cellStyle name="Accent 2" xfId="3" xr:uid="{00000000-0005-0000-0000-000002000000}"/>
    <cellStyle name="Accent 3" xfId="4" xr:uid="{00000000-0005-0000-0000-000003000000}"/>
    <cellStyle name="Bad" xfId="5" xr:uid="{00000000-0005-0000-0000-000004000000}"/>
    <cellStyle name="Error" xfId="6" xr:uid="{00000000-0005-0000-0000-000005000000}"/>
    <cellStyle name="Footnote" xfId="7" xr:uid="{00000000-0005-0000-0000-000006000000}"/>
    <cellStyle name="Good" xfId="8" xr:uid="{00000000-0005-0000-0000-000007000000}"/>
    <cellStyle name="Heading (user)" xfId="9" xr:uid="{00000000-0005-0000-0000-000008000000}"/>
    <cellStyle name="Heading 1" xfId="10" xr:uid="{00000000-0005-0000-0000-000009000000}"/>
    <cellStyle name="Heading 2" xfId="11" xr:uid="{00000000-0005-0000-0000-00000A000000}"/>
    <cellStyle name="Hyperlink" xfId="12" xr:uid="{00000000-0005-0000-0000-00000B000000}"/>
    <cellStyle name="Neutral" xfId="13" xr:uid="{00000000-0005-0000-0000-00000C000000}"/>
    <cellStyle name="Note" xfId="14" xr:uid="{00000000-0005-0000-0000-00000D000000}"/>
    <cellStyle name="Result (user)" xfId="15" xr:uid="{00000000-0005-0000-0000-00000E000000}"/>
    <cellStyle name="Standaard" xfId="0" builtinId="0" customBuiltin="1"/>
    <cellStyle name="Status" xfId="16" xr:uid="{00000000-0005-0000-0000-000010000000}"/>
    <cellStyle name="Text" xfId="17" xr:uid="{00000000-0005-0000-0000-000011000000}"/>
    <cellStyle name="Warning" xfId="18"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AMI45"/>
  <sheetViews>
    <sheetView tabSelected="1" workbookViewId="0">
      <pane xSplit="1" ySplit="2" topLeftCell="B20" activePane="bottomRight" state="frozen"/>
      <selection pane="topRight" activeCell="B1" sqref="B1"/>
      <selection pane="bottomLeft" activeCell="A3" sqref="A3"/>
      <selection pane="bottomRight" activeCell="B44" sqref="B44"/>
    </sheetView>
  </sheetViews>
  <sheetFormatPr defaultColWidth="9" defaultRowHeight="12.75" x14ac:dyDescent="0.2"/>
  <cols>
    <col min="1" max="1" width="51" style="10" bestFit="1" customWidth="1"/>
    <col min="2" max="2" width="62.5" style="9" customWidth="1"/>
    <col min="3" max="1023" width="77.125" style="9" customWidth="1"/>
    <col min="1024" max="16384" width="9" style="11"/>
  </cols>
  <sheetData>
    <row r="1" spans="1:2" s="19" customFormat="1" x14ac:dyDescent="0.2">
      <c r="A1" s="17" t="str">
        <f>CONCATENATE("Zaaktype ",B3,": ",B4)</f>
        <v>Zaaktype 19: Bibob-onderzoek uitvoeren</v>
      </c>
      <c r="B1" s="18"/>
    </row>
    <row r="2" spans="1:2" s="19" customFormat="1" x14ac:dyDescent="0.2">
      <c r="A2" s="7" t="s">
        <v>0</v>
      </c>
      <c r="B2" s="7" t="s">
        <v>1</v>
      </c>
    </row>
    <row r="3" spans="1:2" x14ac:dyDescent="0.2">
      <c r="A3" s="3" t="s">
        <v>2</v>
      </c>
      <c r="B3" s="3">
        <v>19</v>
      </c>
    </row>
    <row r="4" spans="1:2" x14ac:dyDescent="0.2">
      <c r="A4" s="3" t="s">
        <v>3</v>
      </c>
      <c r="B4" s="3" t="s">
        <v>4</v>
      </c>
    </row>
    <row r="5" spans="1:2" x14ac:dyDescent="0.2">
      <c r="A5" s="3" t="s">
        <v>5</v>
      </c>
      <c r="B5" s="1" t="s">
        <v>6</v>
      </c>
    </row>
    <row r="6" spans="1:2" x14ac:dyDescent="0.2">
      <c r="A6" s="3" t="s">
        <v>7</v>
      </c>
      <c r="B6" s="1" t="s">
        <v>8</v>
      </c>
    </row>
    <row r="7" spans="1:2" ht="38.25" x14ac:dyDescent="0.2">
      <c r="A7" s="3" t="s">
        <v>9</v>
      </c>
      <c r="B7" s="1" t="s">
        <v>10</v>
      </c>
    </row>
    <row r="8" spans="1:2" ht="76.5" x14ac:dyDescent="0.2">
      <c r="A8" s="3" t="s">
        <v>11</v>
      </c>
      <c r="B8" s="1" t="s">
        <v>12</v>
      </c>
    </row>
    <row r="9" spans="1:2" x14ac:dyDescent="0.2">
      <c r="A9" s="3" t="s">
        <v>13</v>
      </c>
      <c r="B9" s="1" t="s">
        <v>14</v>
      </c>
    </row>
    <row r="10" spans="1:2" x14ac:dyDescent="0.2">
      <c r="A10" s="3" t="s">
        <v>15</v>
      </c>
      <c r="B10" s="1" t="s">
        <v>16</v>
      </c>
    </row>
    <row r="11" spans="1:2" x14ac:dyDescent="0.2">
      <c r="A11" s="3" t="s">
        <v>17</v>
      </c>
      <c r="B11" s="1" t="s">
        <v>18</v>
      </c>
    </row>
    <row r="12" spans="1:2" x14ac:dyDescent="0.2">
      <c r="A12" s="3" t="s">
        <v>19</v>
      </c>
      <c r="B12" s="1" t="s">
        <v>20</v>
      </c>
    </row>
    <row r="13" spans="1:2" x14ac:dyDescent="0.2">
      <c r="A13" s="3" t="s">
        <v>21</v>
      </c>
      <c r="B13" s="1">
        <v>84</v>
      </c>
    </row>
    <row r="14" spans="1:2" x14ac:dyDescent="0.2">
      <c r="A14" s="5" t="s">
        <v>22</v>
      </c>
      <c r="B14" s="6" t="s">
        <v>23</v>
      </c>
    </row>
    <row r="15" spans="1:2" x14ac:dyDescent="0.2">
      <c r="A15" s="5" t="s">
        <v>24</v>
      </c>
      <c r="B15" s="5">
        <v>12</v>
      </c>
    </row>
    <row r="16" spans="1:2" x14ac:dyDescent="0.2">
      <c r="A16" s="3" t="s">
        <v>25</v>
      </c>
      <c r="B16" s="1">
        <v>28</v>
      </c>
    </row>
    <row r="17" spans="1:2" x14ac:dyDescent="0.2">
      <c r="A17" s="5" t="s">
        <v>22</v>
      </c>
      <c r="B17" s="6" t="s">
        <v>23</v>
      </c>
    </row>
    <row r="18" spans="1:2" x14ac:dyDescent="0.2">
      <c r="A18" s="5" t="s">
        <v>24</v>
      </c>
      <c r="B18" s="5">
        <v>4</v>
      </c>
    </row>
    <row r="19" spans="1:2" x14ac:dyDescent="0.2">
      <c r="A19" s="3" t="s">
        <v>26</v>
      </c>
      <c r="B19" s="1" t="s">
        <v>27</v>
      </c>
    </row>
    <row r="20" spans="1:2" x14ac:dyDescent="0.2">
      <c r="A20" s="7" t="s">
        <v>28</v>
      </c>
      <c r="B20" s="1" t="s">
        <v>29</v>
      </c>
    </row>
    <row r="21" spans="1:2" x14ac:dyDescent="0.2">
      <c r="A21" s="3" t="s">
        <v>30</v>
      </c>
      <c r="B21" s="1">
        <v>28</v>
      </c>
    </row>
    <row r="22" spans="1:2" x14ac:dyDescent="0.2">
      <c r="A22" s="3" t="s">
        <v>31</v>
      </c>
      <c r="B22" s="1" t="s">
        <v>32</v>
      </c>
    </row>
    <row r="23" spans="1:2" x14ac:dyDescent="0.2">
      <c r="A23" s="7" t="s">
        <v>33</v>
      </c>
      <c r="B23" s="1" t="s">
        <v>34</v>
      </c>
    </row>
    <row r="24" spans="1:2" x14ac:dyDescent="0.2">
      <c r="A24" s="3" t="s">
        <v>35</v>
      </c>
      <c r="B24" s="1"/>
    </row>
    <row r="25" spans="1:2" x14ac:dyDescent="0.2">
      <c r="A25" s="3" t="s">
        <v>36</v>
      </c>
      <c r="B25" s="1" t="s">
        <v>27</v>
      </c>
    </row>
    <row r="26" spans="1:2" x14ac:dyDescent="0.2">
      <c r="A26" s="3" t="s">
        <v>37</v>
      </c>
      <c r="B26" s="1"/>
    </row>
    <row r="27" spans="1:2" x14ac:dyDescent="0.2">
      <c r="A27" s="3" t="s">
        <v>38</v>
      </c>
    </row>
    <row r="28" spans="1:2" x14ac:dyDescent="0.2">
      <c r="A28" s="8" t="s">
        <v>39</v>
      </c>
      <c r="B28" s="1"/>
    </row>
    <row r="29" spans="1:2" x14ac:dyDescent="0.2">
      <c r="A29" s="8" t="s">
        <v>40</v>
      </c>
      <c r="B29" s="1"/>
    </row>
    <row r="30" spans="1:2" x14ac:dyDescent="0.2">
      <c r="A30" s="8" t="s">
        <v>41</v>
      </c>
      <c r="B30" s="1"/>
    </row>
    <row r="31" spans="1:2" x14ac:dyDescent="0.2">
      <c r="A31" s="8" t="s">
        <v>39</v>
      </c>
      <c r="B31" s="1"/>
    </row>
    <row r="32" spans="1:2" x14ac:dyDescent="0.2">
      <c r="A32" s="8" t="s">
        <v>40</v>
      </c>
      <c r="B32" s="1"/>
    </row>
    <row r="33" spans="1:2" x14ac:dyDescent="0.2">
      <c r="A33" s="6" t="s">
        <v>42</v>
      </c>
      <c r="B33" s="1"/>
    </row>
    <row r="34" spans="1:2" x14ac:dyDescent="0.2">
      <c r="A34" s="6" t="s">
        <v>43</v>
      </c>
      <c r="B34" s="1"/>
    </row>
    <row r="35" spans="1:2" x14ac:dyDescent="0.2">
      <c r="A35" s="5" t="s">
        <v>44</v>
      </c>
      <c r="B35" s="1" t="s">
        <v>45</v>
      </c>
    </row>
    <row r="36" spans="1:2" x14ac:dyDescent="0.2">
      <c r="A36" s="8" t="s">
        <v>46</v>
      </c>
      <c r="B36" s="1" t="s">
        <v>47</v>
      </c>
    </row>
    <row r="37" spans="1:2" x14ac:dyDescent="0.2">
      <c r="A37" s="5" t="s">
        <v>48</v>
      </c>
      <c r="B37" s="1"/>
    </row>
    <row r="38" spans="1:2" x14ac:dyDescent="0.2">
      <c r="A38" s="5" t="s">
        <v>49</v>
      </c>
      <c r="B38" s="1"/>
    </row>
    <row r="39" spans="1:2" x14ac:dyDescent="0.2">
      <c r="A39" s="5" t="s">
        <v>39</v>
      </c>
      <c r="B39" s="1"/>
    </row>
    <row r="40" spans="1:2" x14ac:dyDescent="0.2">
      <c r="A40" s="5" t="s">
        <v>50</v>
      </c>
      <c r="B40" s="1"/>
    </row>
    <row r="41" spans="1:2" x14ac:dyDescent="0.2">
      <c r="A41" s="5" t="s">
        <v>51</v>
      </c>
      <c r="B41" s="1"/>
    </row>
    <row r="42" spans="1:2" x14ac:dyDescent="0.2">
      <c r="A42" s="5" t="s">
        <v>52</v>
      </c>
      <c r="B42" s="1"/>
    </row>
    <row r="43" spans="1:2" x14ac:dyDescent="0.2">
      <c r="A43" s="7" t="s">
        <v>53</v>
      </c>
      <c r="B43" s="20">
        <v>46009</v>
      </c>
    </row>
    <row r="44" spans="1:2" x14ac:dyDescent="0.2">
      <c r="A44" s="7" t="s">
        <v>54</v>
      </c>
      <c r="B44" s="20">
        <v>44530</v>
      </c>
    </row>
    <row r="45" spans="1:2" x14ac:dyDescent="0.2">
      <c r="A45" s="7" t="s">
        <v>55</v>
      </c>
      <c r="B45" s="2"/>
    </row>
  </sheetData>
  <pageMargins left="0" right="0" top="0.39370078740157483" bottom="0.39370078740157483" header="0" footer="0"/>
  <pageSetup paperSize="9" orientation="portrait" verticalDpi="0" r:id="rId1"/>
  <headerFooter>
    <oddHeader>&amp;C&amp;A</oddHeader>
    <oddFooter>&amp;CPagina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dimension ref="A1:AML7"/>
  <sheetViews>
    <sheetView workbookViewId="0">
      <pane xSplit="2" ySplit="2" topLeftCell="C3" activePane="bottomRight" state="frozen"/>
      <selection pane="topRight" activeCell="C1" sqref="C1"/>
      <selection pane="bottomLeft" activeCell="A3" sqref="A3"/>
      <selection pane="bottomRight" sqref="A1:C1"/>
    </sheetView>
  </sheetViews>
  <sheetFormatPr defaultColWidth="8.75" defaultRowHeight="12.75" x14ac:dyDescent="0.2"/>
  <cols>
    <col min="1" max="1" width="6.625" style="21" bestFit="1" customWidth="1"/>
    <col min="2" max="2" width="20.625" style="21" bestFit="1" customWidth="1"/>
    <col min="3" max="3" width="16.625" style="21" customWidth="1"/>
    <col min="4" max="4" width="20.5" style="21" bestFit="1" customWidth="1"/>
    <col min="5" max="5" width="9.625" style="21" bestFit="1" customWidth="1"/>
    <col min="6" max="6" width="9.375" style="24" bestFit="1" customWidth="1"/>
    <col min="7" max="7" width="58.625" style="24" customWidth="1"/>
    <col min="8" max="8" width="24.875" style="21" bestFit="1" customWidth="1"/>
    <col min="9" max="9" width="20.375" style="21" bestFit="1" customWidth="1"/>
    <col min="10" max="10" width="22" style="21" bestFit="1" customWidth="1"/>
    <col min="11" max="11" width="20.25" style="21" bestFit="1" customWidth="1"/>
    <col min="12" max="1026" width="54.625" style="21" customWidth="1"/>
    <col min="1027" max="16384" width="8.75" style="23"/>
  </cols>
  <sheetData>
    <row r="1" spans="1:11" s="22" customFormat="1" x14ac:dyDescent="0.2">
      <c r="A1" s="41" t="str">
        <f>CONCATENATE("Statustypen bij zaaktype ",Zaaktype!B3,": ",Zaaktype!B4)</f>
        <v>Statustypen bij zaaktype 19: Bibob-onderzoek uitvoeren</v>
      </c>
      <c r="B1" s="41"/>
      <c r="C1" s="41"/>
      <c r="D1" s="31"/>
      <c r="E1" s="31"/>
      <c r="F1" s="31"/>
      <c r="G1" s="31"/>
      <c r="H1" s="31"/>
      <c r="I1" s="31"/>
      <c r="J1" s="31"/>
      <c r="K1" s="31"/>
    </row>
    <row r="2" spans="1:11" ht="25.5" x14ac:dyDescent="0.2">
      <c r="A2" s="7" t="s">
        <v>56</v>
      </c>
      <c r="B2" s="7" t="s">
        <v>57</v>
      </c>
      <c r="C2" s="7" t="s">
        <v>58</v>
      </c>
      <c r="D2" s="7" t="s">
        <v>59</v>
      </c>
      <c r="E2" s="7" t="s">
        <v>60</v>
      </c>
      <c r="F2" s="7" t="s">
        <v>61</v>
      </c>
      <c r="G2" s="7" t="s">
        <v>62</v>
      </c>
      <c r="H2" s="7" t="s">
        <v>63</v>
      </c>
      <c r="I2" s="7" t="s">
        <v>64</v>
      </c>
      <c r="J2" s="7" t="s">
        <v>65</v>
      </c>
      <c r="K2" s="7" t="s">
        <v>66</v>
      </c>
    </row>
    <row r="3" spans="1:11" ht="38.25" x14ac:dyDescent="0.2">
      <c r="A3" s="29" t="s">
        <v>67</v>
      </c>
      <c r="B3" s="6" t="s">
        <v>68</v>
      </c>
      <c r="C3" s="6">
        <v>0</v>
      </c>
      <c r="D3" s="6"/>
      <c r="E3" s="12" t="s">
        <v>27</v>
      </c>
      <c r="F3" s="6"/>
      <c r="G3" s="6" t="s">
        <v>69</v>
      </c>
      <c r="H3" s="31"/>
      <c r="I3" s="31"/>
      <c r="J3" s="31"/>
      <c r="K3" s="14">
        <v>44530</v>
      </c>
    </row>
    <row r="4" spans="1:11" ht="51" x14ac:dyDescent="0.2">
      <c r="A4" s="29" t="s">
        <v>70</v>
      </c>
      <c r="B4" s="6" t="s">
        <v>71</v>
      </c>
      <c r="C4" s="6">
        <v>2</v>
      </c>
      <c r="D4" s="6"/>
      <c r="E4" s="12" t="s">
        <v>27</v>
      </c>
      <c r="F4" s="6"/>
      <c r="G4" s="6" t="s">
        <v>72</v>
      </c>
      <c r="H4" s="31"/>
      <c r="I4" s="31"/>
      <c r="J4" s="31"/>
      <c r="K4" s="14">
        <v>44530</v>
      </c>
    </row>
    <row r="5" spans="1:11" ht="51" x14ac:dyDescent="0.2">
      <c r="A5" s="29" t="s">
        <v>73</v>
      </c>
      <c r="B5" s="6" t="s">
        <v>74</v>
      </c>
      <c r="C5" s="6">
        <v>66</v>
      </c>
      <c r="D5" s="6"/>
      <c r="E5" s="12" t="s">
        <v>27</v>
      </c>
      <c r="F5" s="6"/>
      <c r="G5" s="6" t="s">
        <v>75</v>
      </c>
      <c r="H5" s="6" t="s">
        <v>76</v>
      </c>
      <c r="I5" s="31"/>
      <c r="J5" s="31"/>
      <c r="K5" s="14">
        <v>44530</v>
      </c>
    </row>
    <row r="6" spans="1:11" x14ac:dyDescent="0.2">
      <c r="A6" s="29" t="s">
        <v>77</v>
      </c>
      <c r="B6" s="6" t="s">
        <v>78</v>
      </c>
      <c r="C6" s="6">
        <v>15</v>
      </c>
      <c r="D6" s="6"/>
      <c r="E6" s="12" t="s">
        <v>27</v>
      </c>
      <c r="F6" s="6"/>
      <c r="G6" s="6" t="s">
        <v>79</v>
      </c>
      <c r="H6" s="31" t="s">
        <v>80</v>
      </c>
      <c r="I6" s="31"/>
      <c r="J6" s="31"/>
      <c r="K6" s="14">
        <v>44530</v>
      </c>
    </row>
    <row r="7" spans="1:11" ht="38.25" x14ac:dyDescent="0.2">
      <c r="A7" s="29" t="s">
        <v>81</v>
      </c>
      <c r="B7" s="6" t="s">
        <v>82</v>
      </c>
      <c r="C7" s="6">
        <v>1</v>
      </c>
      <c r="D7" s="6"/>
      <c r="E7" s="12" t="s">
        <v>27</v>
      </c>
      <c r="F7" s="6"/>
      <c r="G7" s="6" t="s">
        <v>83</v>
      </c>
      <c r="H7" s="31"/>
      <c r="I7" s="31"/>
      <c r="J7" s="31"/>
      <c r="K7" s="14">
        <v>44530</v>
      </c>
    </row>
  </sheetData>
  <mergeCells count="1">
    <mergeCell ref="A1:C1"/>
  </mergeCells>
  <phoneticPr fontId="18" type="noConversion"/>
  <pageMargins left="0" right="0" top="0.39370078740157483" bottom="0.39370078740157483" header="0" footer="0"/>
  <pageSetup paperSize="9" orientation="portrait" r:id="rId1"/>
  <headerFooter>
    <oddHeader>&amp;C&amp;A</oddHeader>
    <oddFooter>&amp;CPagina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6A0FD-A85F-48A7-9553-767C993370BF}">
  <dimension ref="A1:F16"/>
  <sheetViews>
    <sheetView workbookViewId="0">
      <pane xSplit="3" ySplit="2" topLeftCell="D3" activePane="bottomRight" state="frozen"/>
      <selection pane="topRight" activeCell="A39" sqref="A39:B47"/>
      <selection pane="bottomLeft" activeCell="A39" sqref="A39:B47"/>
      <selection pane="bottomRight" activeCell="B3" sqref="B3"/>
    </sheetView>
  </sheetViews>
  <sheetFormatPr defaultColWidth="8.75" defaultRowHeight="12.75" x14ac:dyDescent="0.2"/>
  <cols>
    <col min="1" max="1" width="4.25" style="27" customWidth="1"/>
    <col min="2" max="2" width="21.625" style="27" bestFit="1" customWidth="1"/>
    <col min="3" max="3" width="30" style="27" bestFit="1" customWidth="1"/>
    <col min="4" max="4" width="44.125" style="27" customWidth="1"/>
    <col min="5" max="5" width="8" style="27" bestFit="1" customWidth="1"/>
    <col min="6" max="6" width="53.875" style="27" bestFit="1" customWidth="1"/>
    <col min="7" max="16384" width="8.75" style="27"/>
  </cols>
  <sheetData>
    <row r="1" spans="1:6" s="29" customFormat="1" x14ac:dyDescent="0.2">
      <c r="A1" s="28" t="str">
        <f>CONCATENATE("Checklistst bij zaaktype ",Zaaktype!B3,": ",Zaaktype!B4)</f>
        <v>Checklistst bij zaaktype 19: Bibob-onderzoek uitvoeren</v>
      </c>
    </row>
    <row r="2" spans="1:6" x14ac:dyDescent="0.2">
      <c r="A2" s="28" t="s">
        <v>84</v>
      </c>
      <c r="B2" s="30"/>
      <c r="C2" s="30" t="s">
        <v>85</v>
      </c>
      <c r="D2" s="30" t="s">
        <v>86</v>
      </c>
      <c r="E2" s="30" t="s">
        <v>87</v>
      </c>
      <c r="F2" s="30" t="s">
        <v>62</v>
      </c>
    </row>
    <row r="3" spans="1:6" ht="25.5" x14ac:dyDescent="0.2">
      <c r="A3" s="33">
        <v>1</v>
      </c>
      <c r="B3" s="33" t="s">
        <v>68</v>
      </c>
      <c r="C3" s="34" t="s">
        <v>88</v>
      </c>
      <c r="D3" s="34" t="s">
        <v>89</v>
      </c>
      <c r="E3" s="34" t="s">
        <v>29</v>
      </c>
      <c r="F3" s="34" t="s">
        <v>90</v>
      </c>
    </row>
    <row r="4" spans="1:6" x14ac:dyDescent="0.2">
      <c r="A4" s="7">
        <v>2</v>
      </c>
      <c r="B4" s="30" t="s">
        <v>71</v>
      </c>
      <c r="C4" s="27" t="s">
        <v>91</v>
      </c>
      <c r="D4" s="12" t="s">
        <v>92</v>
      </c>
      <c r="E4" s="27" t="s">
        <v>29</v>
      </c>
      <c r="F4" s="6" t="s">
        <v>93</v>
      </c>
    </row>
    <row r="5" spans="1:6" ht="25.5" x14ac:dyDescent="0.2">
      <c r="A5" s="32">
        <v>2</v>
      </c>
      <c r="B5" s="34" t="s">
        <v>71</v>
      </c>
      <c r="C5" s="34" t="s">
        <v>94</v>
      </c>
      <c r="D5" s="35" t="s">
        <v>95</v>
      </c>
      <c r="E5" s="32" t="s">
        <v>27</v>
      </c>
      <c r="F5" s="32" t="s">
        <v>96</v>
      </c>
    </row>
    <row r="6" spans="1:6" x14ac:dyDescent="0.2">
      <c r="A6" s="28" t="s">
        <v>73</v>
      </c>
      <c r="B6" s="7" t="s">
        <v>74</v>
      </c>
      <c r="C6" s="27" t="s">
        <v>97</v>
      </c>
      <c r="D6" s="27" t="s">
        <v>98</v>
      </c>
      <c r="E6" s="27" t="s">
        <v>29</v>
      </c>
      <c r="F6" s="12" t="s">
        <v>99</v>
      </c>
    </row>
    <row r="7" spans="1:6" ht="25.5" x14ac:dyDescent="0.2">
      <c r="A7" s="29" t="s">
        <v>73</v>
      </c>
      <c r="B7" s="6" t="s">
        <v>74</v>
      </c>
      <c r="C7" s="27" t="s">
        <v>100</v>
      </c>
      <c r="D7" s="12" t="s">
        <v>101</v>
      </c>
      <c r="E7" s="27" t="s">
        <v>29</v>
      </c>
      <c r="F7" s="6" t="s">
        <v>102</v>
      </c>
    </row>
    <row r="8" spans="1:6" ht="25.5" x14ac:dyDescent="0.2">
      <c r="A8" s="29" t="s">
        <v>73</v>
      </c>
      <c r="B8" s="6" t="s">
        <v>74</v>
      </c>
      <c r="C8" s="27" t="s">
        <v>103</v>
      </c>
      <c r="D8" s="27" t="s">
        <v>104</v>
      </c>
      <c r="E8" s="27" t="s">
        <v>29</v>
      </c>
      <c r="F8" s="6" t="s">
        <v>105</v>
      </c>
    </row>
    <row r="9" spans="1:6" ht="25.5" x14ac:dyDescent="0.2">
      <c r="A9" s="36" t="s">
        <v>73</v>
      </c>
      <c r="B9" s="32" t="s">
        <v>74</v>
      </c>
      <c r="C9" s="34" t="s">
        <v>106</v>
      </c>
      <c r="D9" s="34" t="s">
        <v>107</v>
      </c>
      <c r="E9" s="34" t="s">
        <v>29</v>
      </c>
      <c r="F9" s="34" t="s">
        <v>108</v>
      </c>
    </row>
    <row r="10" spans="1:6" x14ac:dyDescent="0.2">
      <c r="A10" s="17">
        <v>4</v>
      </c>
      <c r="B10" s="7" t="s">
        <v>78</v>
      </c>
      <c r="C10" s="27" t="s">
        <v>109</v>
      </c>
      <c r="D10" s="27" t="s">
        <v>110</v>
      </c>
      <c r="E10" s="27" t="s">
        <v>29</v>
      </c>
      <c r="F10" s="27" t="s">
        <v>111</v>
      </c>
    </row>
    <row r="11" spans="1:6" ht="153" x14ac:dyDescent="0.2">
      <c r="A11" s="31">
        <v>4</v>
      </c>
      <c r="B11" s="6" t="s">
        <v>78</v>
      </c>
      <c r="C11" s="27" t="s">
        <v>112</v>
      </c>
      <c r="D11" s="27" t="s">
        <v>113</v>
      </c>
      <c r="E11" s="27" t="s">
        <v>29</v>
      </c>
      <c r="F11" s="27" t="s">
        <v>114</v>
      </c>
    </row>
    <row r="12" spans="1:6" ht="25.5" x14ac:dyDescent="0.2">
      <c r="A12" s="31">
        <v>4</v>
      </c>
      <c r="B12" s="6" t="s">
        <v>78</v>
      </c>
      <c r="C12" s="27" t="s">
        <v>115</v>
      </c>
      <c r="D12" s="27" t="s">
        <v>116</v>
      </c>
      <c r="E12" s="27" t="s">
        <v>29</v>
      </c>
      <c r="F12" s="27" t="s">
        <v>117</v>
      </c>
    </row>
    <row r="13" spans="1:6" x14ac:dyDescent="0.2">
      <c r="A13" s="37">
        <v>4</v>
      </c>
      <c r="B13" s="32" t="s">
        <v>78</v>
      </c>
      <c r="C13" s="34" t="s">
        <v>118</v>
      </c>
      <c r="D13" s="34" t="s">
        <v>119</v>
      </c>
      <c r="E13" s="34" t="s">
        <v>29</v>
      </c>
      <c r="F13" s="34" t="s">
        <v>120</v>
      </c>
    </row>
    <row r="14" spans="1:6" ht="25.5" x14ac:dyDescent="0.2">
      <c r="A14" s="7">
        <v>5</v>
      </c>
      <c r="B14" s="7" t="s">
        <v>82</v>
      </c>
      <c r="C14" s="27" t="s">
        <v>121</v>
      </c>
      <c r="D14" s="27" t="s">
        <v>122</v>
      </c>
      <c r="E14" s="27" t="s">
        <v>29</v>
      </c>
      <c r="F14" s="27" t="s">
        <v>123</v>
      </c>
    </row>
    <row r="15" spans="1:6" ht="76.5" x14ac:dyDescent="0.2">
      <c r="A15" s="6">
        <v>5</v>
      </c>
      <c r="B15" s="6" t="s">
        <v>82</v>
      </c>
      <c r="C15" s="27" t="s">
        <v>124</v>
      </c>
      <c r="D15" s="27" t="s">
        <v>125</v>
      </c>
      <c r="E15" s="27" t="s">
        <v>29</v>
      </c>
      <c r="F15" s="27" t="s">
        <v>126</v>
      </c>
    </row>
    <row r="16" spans="1:6" ht="102" x14ac:dyDescent="0.2">
      <c r="A16" s="6">
        <v>5</v>
      </c>
      <c r="B16" s="6" t="s">
        <v>82</v>
      </c>
      <c r="C16" s="27" t="s">
        <v>127</v>
      </c>
      <c r="D16" s="27" t="s">
        <v>128</v>
      </c>
      <c r="E16" s="27" t="s">
        <v>29</v>
      </c>
      <c r="F16" s="27" t="s">
        <v>129</v>
      </c>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3"/>
  <dimension ref="A1:AMJ8"/>
  <sheetViews>
    <sheetView workbookViewId="0">
      <pane xSplit="2" ySplit="2" topLeftCell="C3" activePane="bottomRight" state="frozen"/>
      <selection pane="topRight" activeCell="C1" sqref="C1"/>
      <selection pane="bottomLeft" activeCell="A3" sqref="A3"/>
      <selection pane="bottomRight" sqref="A1:B1"/>
    </sheetView>
  </sheetViews>
  <sheetFormatPr defaultColWidth="9" defaultRowHeight="12.75" x14ac:dyDescent="0.2"/>
  <cols>
    <col min="1" max="1" width="22.875" style="9" customWidth="1"/>
    <col min="2" max="2" width="31.75" style="9" customWidth="1"/>
    <col min="3" max="3" width="43.625" style="9" customWidth="1"/>
    <col min="4" max="4" width="30.875" style="9" customWidth="1"/>
    <col min="5" max="5" width="19.75" style="9" bestFit="1" customWidth="1"/>
    <col min="6" max="1024" width="76.5" style="9" customWidth="1"/>
    <col min="1025" max="16384" width="9" style="11"/>
  </cols>
  <sheetData>
    <row r="1" spans="1:5" x14ac:dyDescent="0.2">
      <c r="A1" s="42" t="str">
        <f>CONCATENATE("Roltypen bij zaaktype ",Zaaktype!B3,": ",Zaaktype!B4)</f>
        <v>Roltypen bij zaaktype 19: Bibob-onderzoek uitvoeren</v>
      </c>
      <c r="B1" s="42"/>
    </row>
    <row r="2" spans="1:5" ht="25.5" x14ac:dyDescent="0.2">
      <c r="A2" s="3" t="s">
        <v>57</v>
      </c>
      <c r="B2" s="3" t="s">
        <v>130</v>
      </c>
      <c r="C2" s="15" t="s">
        <v>131</v>
      </c>
      <c r="D2" s="15" t="s">
        <v>132</v>
      </c>
      <c r="E2" s="15" t="s">
        <v>66</v>
      </c>
    </row>
    <row r="3" spans="1:5" ht="63.75" x14ac:dyDescent="0.2">
      <c r="A3" s="1" t="s">
        <v>133</v>
      </c>
      <c r="B3" s="1" t="s">
        <v>134</v>
      </c>
      <c r="C3" s="9" t="s">
        <v>135</v>
      </c>
      <c r="D3" s="1" t="s">
        <v>136</v>
      </c>
      <c r="E3" s="14">
        <v>44530</v>
      </c>
    </row>
    <row r="4" spans="1:5" x14ac:dyDescent="0.2">
      <c r="A4" s="1" t="s">
        <v>137</v>
      </c>
      <c r="B4" s="1" t="s">
        <v>137</v>
      </c>
      <c r="C4" s="9" t="s">
        <v>135</v>
      </c>
      <c r="D4" s="11"/>
      <c r="E4" s="14">
        <v>44530</v>
      </c>
    </row>
    <row r="5" spans="1:5" x14ac:dyDescent="0.2">
      <c r="A5" s="1" t="s">
        <v>138</v>
      </c>
      <c r="B5" s="1" t="s">
        <v>138</v>
      </c>
      <c r="C5" s="1" t="s">
        <v>139</v>
      </c>
      <c r="E5" s="14">
        <v>44530</v>
      </c>
    </row>
    <row r="6" spans="1:5" x14ac:dyDescent="0.2">
      <c r="A6" s="1" t="s">
        <v>140</v>
      </c>
      <c r="B6" s="1" t="s">
        <v>138</v>
      </c>
      <c r="C6" s="1" t="s">
        <v>141</v>
      </c>
      <c r="E6" s="14">
        <v>44530</v>
      </c>
    </row>
    <row r="7" spans="1:5" x14ac:dyDescent="0.2">
      <c r="A7" s="1" t="s">
        <v>142</v>
      </c>
      <c r="B7" s="1" t="s">
        <v>143</v>
      </c>
      <c r="C7" s="9" t="s">
        <v>135</v>
      </c>
      <c r="D7" s="1"/>
      <c r="E7" s="14">
        <v>44530</v>
      </c>
    </row>
    <row r="8" spans="1:5" x14ac:dyDescent="0.2">
      <c r="A8" s="16" t="s">
        <v>133</v>
      </c>
      <c r="B8" s="16" t="s">
        <v>144</v>
      </c>
      <c r="C8" s="16" t="s">
        <v>135</v>
      </c>
      <c r="E8" s="14">
        <v>44530</v>
      </c>
    </row>
  </sheetData>
  <mergeCells count="1">
    <mergeCell ref="A1:B1"/>
  </mergeCells>
  <pageMargins left="0" right="0" top="0.39370078740157483" bottom="0.39370078740157483" header="0" footer="0"/>
  <headerFooter>
    <oddHeader>&amp;C&amp;A</oddHeader>
    <oddFooter>&amp;CPagina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4"/>
  <dimension ref="A1:ALL45"/>
  <sheetViews>
    <sheetView workbookViewId="0">
      <pane xSplit="2" ySplit="2" topLeftCell="C3" activePane="bottomRight" state="frozen"/>
      <selection pane="topRight" activeCell="C1" sqref="C1"/>
      <selection pane="bottomLeft" activeCell="A3" sqref="A3"/>
      <selection pane="bottomRight" sqref="A1:B1"/>
    </sheetView>
  </sheetViews>
  <sheetFormatPr defaultColWidth="9" defaultRowHeight="12.75" x14ac:dyDescent="0.2"/>
  <cols>
    <col min="1" max="1" width="47.25" style="9" bestFit="1" customWidth="1"/>
    <col min="2" max="2" width="16.875" style="6" customWidth="1"/>
    <col min="3" max="3" width="58.125" style="9" bestFit="1" customWidth="1"/>
    <col min="4" max="4" width="22.25" style="9" bestFit="1" customWidth="1"/>
    <col min="5" max="1000" width="58.5" style="9" customWidth="1"/>
    <col min="1001" max="16384" width="9" style="11"/>
  </cols>
  <sheetData>
    <row r="1" spans="1:4" x14ac:dyDescent="0.2">
      <c r="A1" s="43" t="str">
        <f>CONCATENATE("Zaakobjecttypen bij zaaktype ",Zaaktype!B3,": ",Zaaktype!B4)</f>
        <v>Zaakobjecttypen bij zaaktype 19: Bibob-onderzoek uitvoeren</v>
      </c>
      <c r="B1" s="43"/>
      <c r="C1" s="13"/>
    </row>
    <row r="2" spans="1:4" ht="25.5" x14ac:dyDescent="0.2">
      <c r="A2" s="3" t="s">
        <v>145</v>
      </c>
      <c r="B2" s="7" t="s">
        <v>146</v>
      </c>
      <c r="C2" s="3" t="s">
        <v>147</v>
      </c>
      <c r="D2" s="7" t="s">
        <v>66</v>
      </c>
    </row>
    <row r="3" spans="1:4" x14ac:dyDescent="0.2">
      <c r="A3" s="1" t="s">
        <v>148</v>
      </c>
      <c r="B3" s="6" t="s">
        <v>149</v>
      </c>
      <c r="C3" s="1" t="s">
        <v>150</v>
      </c>
      <c r="D3" s="14">
        <v>43466</v>
      </c>
    </row>
    <row r="4" spans="1:4" x14ac:dyDescent="0.2">
      <c r="A4" s="1" t="s">
        <v>151</v>
      </c>
      <c r="B4" s="6" t="s">
        <v>149</v>
      </c>
      <c r="C4" s="1" t="s">
        <v>152</v>
      </c>
      <c r="D4" s="14">
        <v>43466</v>
      </c>
    </row>
    <row r="5" spans="1:4" x14ac:dyDescent="0.2">
      <c r="A5" s="1" t="s">
        <v>153</v>
      </c>
      <c r="B5" s="6" t="s">
        <v>149</v>
      </c>
      <c r="C5" s="1" t="s">
        <v>154</v>
      </c>
      <c r="D5" s="14">
        <v>43466</v>
      </c>
    </row>
    <row r="6" spans="1:4" x14ac:dyDescent="0.2">
      <c r="A6" s="1" t="s">
        <v>155</v>
      </c>
      <c r="B6" s="6" t="s">
        <v>149</v>
      </c>
      <c r="C6" s="1" t="s">
        <v>156</v>
      </c>
      <c r="D6" s="14">
        <v>43466</v>
      </c>
    </row>
    <row r="7" spans="1:4" x14ac:dyDescent="0.2">
      <c r="A7" s="1" t="s">
        <v>157</v>
      </c>
      <c r="B7" s="6" t="s">
        <v>149</v>
      </c>
      <c r="C7" s="1" t="s">
        <v>158</v>
      </c>
      <c r="D7" s="14">
        <v>43466</v>
      </c>
    </row>
    <row r="8" spans="1:4" x14ac:dyDescent="0.2">
      <c r="A8" s="1" t="s">
        <v>159</v>
      </c>
      <c r="B8" s="6" t="s">
        <v>149</v>
      </c>
      <c r="C8" s="1" t="s">
        <v>160</v>
      </c>
      <c r="D8" s="14">
        <v>43466</v>
      </c>
    </row>
    <row r="9" spans="1:4" x14ac:dyDescent="0.2">
      <c r="A9" s="1" t="s">
        <v>161</v>
      </c>
      <c r="B9" s="6" t="s">
        <v>149</v>
      </c>
      <c r="C9" s="1" t="s">
        <v>162</v>
      </c>
      <c r="D9" s="14">
        <v>43466</v>
      </c>
    </row>
    <row r="10" spans="1:4" x14ac:dyDescent="0.2">
      <c r="A10" s="1" t="s">
        <v>163</v>
      </c>
      <c r="B10" s="6" t="s">
        <v>149</v>
      </c>
      <c r="C10" s="1" t="s">
        <v>164</v>
      </c>
      <c r="D10" s="14">
        <v>43466</v>
      </c>
    </row>
    <row r="11" spans="1:4" x14ac:dyDescent="0.2">
      <c r="A11" s="1" t="s">
        <v>165</v>
      </c>
      <c r="B11" s="6" t="s">
        <v>149</v>
      </c>
      <c r="C11" s="1" t="s">
        <v>166</v>
      </c>
      <c r="D11" s="14">
        <v>43466</v>
      </c>
    </row>
    <row r="12" spans="1:4" x14ac:dyDescent="0.2">
      <c r="A12" s="1" t="s">
        <v>167</v>
      </c>
      <c r="B12" s="6" t="s">
        <v>149</v>
      </c>
      <c r="C12" s="1" t="s">
        <v>168</v>
      </c>
      <c r="D12" s="14">
        <v>43466</v>
      </c>
    </row>
    <row r="13" spans="1:4" x14ac:dyDescent="0.2">
      <c r="A13" s="1" t="s">
        <v>169</v>
      </c>
      <c r="B13" s="6" t="s">
        <v>149</v>
      </c>
      <c r="C13" s="1" t="s">
        <v>170</v>
      </c>
      <c r="D13" s="14">
        <v>43466</v>
      </c>
    </row>
    <row r="14" spans="1:4" x14ac:dyDescent="0.2">
      <c r="A14" s="1" t="s">
        <v>171</v>
      </c>
      <c r="B14" s="6" t="s">
        <v>149</v>
      </c>
      <c r="C14" s="1" t="s">
        <v>172</v>
      </c>
      <c r="D14" s="14">
        <v>43466</v>
      </c>
    </row>
    <row r="15" spans="1:4" x14ac:dyDescent="0.2">
      <c r="A15" s="1" t="s">
        <v>173</v>
      </c>
      <c r="B15" s="6" t="s">
        <v>149</v>
      </c>
      <c r="C15" s="1" t="s">
        <v>174</v>
      </c>
      <c r="D15" s="14">
        <v>43466</v>
      </c>
    </row>
    <row r="16" spans="1:4" x14ac:dyDescent="0.2">
      <c r="A16" s="1" t="s">
        <v>175</v>
      </c>
      <c r="B16" s="6" t="s">
        <v>149</v>
      </c>
      <c r="C16" s="1" t="s">
        <v>176</v>
      </c>
      <c r="D16" s="14">
        <v>43466</v>
      </c>
    </row>
    <row r="17" spans="1:4" x14ac:dyDescent="0.2">
      <c r="A17" s="1" t="s">
        <v>177</v>
      </c>
      <c r="B17" s="6" t="s">
        <v>149</v>
      </c>
      <c r="C17" s="1" t="s">
        <v>178</v>
      </c>
      <c r="D17" s="14">
        <v>43466</v>
      </c>
    </row>
    <row r="18" spans="1:4" x14ac:dyDescent="0.2">
      <c r="A18" s="1" t="s">
        <v>179</v>
      </c>
      <c r="B18" s="6" t="s">
        <v>149</v>
      </c>
      <c r="C18" s="1" t="s">
        <v>180</v>
      </c>
      <c r="D18" s="14">
        <v>43466</v>
      </c>
    </row>
    <row r="19" spans="1:4" ht="25.5" x14ac:dyDescent="0.2">
      <c r="A19" s="1" t="s">
        <v>181</v>
      </c>
      <c r="B19" s="6" t="s">
        <v>149</v>
      </c>
      <c r="C19" s="1" t="s">
        <v>182</v>
      </c>
      <c r="D19" s="14">
        <v>43466</v>
      </c>
    </row>
    <row r="20" spans="1:4" x14ac:dyDescent="0.2">
      <c r="A20" s="1" t="s">
        <v>183</v>
      </c>
      <c r="B20" s="6" t="s">
        <v>149</v>
      </c>
      <c r="C20" s="1" t="s">
        <v>184</v>
      </c>
      <c r="D20" s="14">
        <v>43466</v>
      </c>
    </row>
    <row r="21" spans="1:4" x14ac:dyDescent="0.2">
      <c r="A21" s="1" t="s">
        <v>185</v>
      </c>
      <c r="B21" s="6" t="s">
        <v>149</v>
      </c>
      <c r="C21" s="1" t="s">
        <v>186</v>
      </c>
      <c r="D21" s="14">
        <v>43466</v>
      </c>
    </row>
    <row r="22" spans="1:4" x14ac:dyDescent="0.2">
      <c r="A22" s="1" t="s">
        <v>187</v>
      </c>
      <c r="B22" s="6" t="s">
        <v>149</v>
      </c>
      <c r="C22" s="1" t="s">
        <v>188</v>
      </c>
      <c r="D22" s="14">
        <v>43466</v>
      </c>
    </row>
    <row r="23" spans="1:4" x14ac:dyDescent="0.2">
      <c r="A23" s="1" t="s">
        <v>189</v>
      </c>
      <c r="B23" s="6" t="s">
        <v>149</v>
      </c>
      <c r="C23" s="1" t="s">
        <v>190</v>
      </c>
      <c r="D23" s="14">
        <v>43466</v>
      </c>
    </row>
    <row r="24" spans="1:4" x14ac:dyDescent="0.2">
      <c r="A24" s="1" t="s">
        <v>191</v>
      </c>
      <c r="B24" s="6" t="s">
        <v>149</v>
      </c>
      <c r="C24" s="1" t="s">
        <v>192</v>
      </c>
      <c r="D24" s="14">
        <v>43466</v>
      </c>
    </row>
    <row r="25" spans="1:4" x14ac:dyDescent="0.2">
      <c r="A25" s="1" t="s">
        <v>193</v>
      </c>
      <c r="B25" s="6" t="s">
        <v>149</v>
      </c>
      <c r="C25" s="1" t="s">
        <v>194</v>
      </c>
      <c r="D25" s="14">
        <v>43466</v>
      </c>
    </row>
    <row r="26" spans="1:4" x14ac:dyDescent="0.2">
      <c r="A26" s="1" t="s">
        <v>195</v>
      </c>
      <c r="B26" s="6" t="s">
        <v>149</v>
      </c>
      <c r="C26" s="1" t="s">
        <v>196</v>
      </c>
      <c r="D26" s="14">
        <v>43466</v>
      </c>
    </row>
    <row r="27" spans="1:4" x14ac:dyDescent="0.2">
      <c r="A27" s="1" t="s">
        <v>197</v>
      </c>
      <c r="B27" s="6" t="s">
        <v>149</v>
      </c>
      <c r="C27" s="1" t="s">
        <v>198</v>
      </c>
      <c r="D27" s="14">
        <v>43466</v>
      </c>
    </row>
    <row r="28" spans="1:4" x14ac:dyDescent="0.2">
      <c r="A28" s="1" t="s">
        <v>199</v>
      </c>
      <c r="B28" s="6" t="s">
        <v>149</v>
      </c>
      <c r="C28" s="1" t="s">
        <v>200</v>
      </c>
      <c r="D28" s="14">
        <v>43466</v>
      </c>
    </row>
    <row r="29" spans="1:4" x14ac:dyDescent="0.2">
      <c r="A29" s="1" t="s">
        <v>201</v>
      </c>
      <c r="B29" s="6" t="s">
        <v>149</v>
      </c>
      <c r="C29" s="1" t="s">
        <v>202</v>
      </c>
      <c r="D29" s="14">
        <v>43466</v>
      </c>
    </row>
    <row r="30" spans="1:4" x14ac:dyDescent="0.2">
      <c r="A30" s="1" t="s">
        <v>203</v>
      </c>
      <c r="B30" s="6" t="s">
        <v>149</v>
      </c>
      <c r="C30" s="1" t="s">
        <v>204</v>
      </c>
      <c r="D30" s="14">
        <v>43466</v>
      </c>
    </row>
    <row r="31" spans="1:4" x14ac:dyDescent="0.2">
      <c r="A31" s="1" t="s">
        <v>205</v>
      </c>
      <c r="B31" s="6" t="s">
        <v>149</v>
      </c>
      <c r="C31" s="1" t="s">
        <v>206</v>
      </c>
      <c r="D31" s="14">
        <v>43466</v>
      </c>
    </row>
    <row r="32" spans="1:4" x14ac:dyDescent="0.2">
      <c r="A32" s="1" t="s">
        <v>207</v>
      </c>
      <c r="B32" s="6" t="s">
        <v>149</v>
      </c>
      <c r="C32" s="1" t="s">
        <v>208</v>
      </c>
      <c r="D32" s="14">
        <v>43466</v>
      </c>
    </row>
    <row r="33" spans="1:4" x14ac:dyDescent="0.2">
      <c r="A33" s="1" t="s">
        <v>209</v>
      </c>
      <c r="B33" s="6" t="s">
        <v>149</v>
      </c>
      <c r="C33" s="1" t="s">
        <v>210</v>
      </c>
      <c r="D33" s="14">
        <v>43466</v>
      </c>
    </row>
    <row r="34" spans="1:4" x14ac:dyDescent="0.2">
      <c r="A34" s="1" t="s">
        <v>211</v>
      </c>
      <c r="B34" s="6" t="s">
        <v>149</v>
      </c>
      <c r="C34" s="1" t="s">
        <v>212</v>
      </c>
      <c r="D34" s="14">
        <v>43466</v>
      </c>
    </row>
    <row r="35" spans="1:4" x14ac:dyDescent="0.2">
      <c r="A35" s="1" t="s">
        <v>213</v>
      </c>
      <c r="B35" s="6" t="s">
        <v>149</v>
      </c>
      <c r="C35" s="1" t="s">
        <v>214</v>
      </c>
      <c r="D35" s="14">
        <v>43466</v>
      </c>
    </row>
    <row r="36" spans="1:4" x14ac:dyDescent="0.2">
      <c r="A36" s="1" t="s">
        <v>215</v>
      </c>
      <c r="B36" s="6" t="s">
        <v>149</v>
      </c>
      <c r="C36" s="1" t="s">
        <v>216</v>
      </c>
      <c r="D36" s="14">
        <v>43466</v>
      </c>
    </row>
    <row r="37" spans="1:4" ht="38.25" x14ac:dyDescent="0.2">
      <c r="A37" s="1" t="s">
        <v>217</v>
      </c>
      <c r="B37" s="6" t="s">
        <v>218</v>
      </c>
      <c r="C37" s="1" t="s">
        <v>219</v>
      </c>
      <c r="D37" s="14">
        <v>43466</v>
      </c>
    </row>
    <row r="38" spans="1:4" x14ac:dyDescent="0.2">
      <c r="A38" s="1" t="s">
        <v>220</v>
      </c>
      <c r="B38" s="6" t="s">
        <v>149</v>
      </c>
      <c r="C38" s="1" t="s">
        <v>221</v>
      </c>
      <c r="D38" s="14">
        <v>43466</v>
      </c>
    </row>
    <row r="39" spans="1:4" x14ac:dyDescent="0.2">
      <c r="A39" s="1" t="s">
        <v>222</v>
      </c>
      <c r="B39" s="6" t="s">
        <v>149</v>
      </c>
      <c r="C39" s="1" t="s">
        <v>223</v>
      </c>
      <c r="D39" s="14">
        <v>43466</v>
      </c>
    </row>
    <row r="40" spans="1:4" x14ac:dyDescent="0.2">
      <c r="A40" s="1" t="s">
        <v>224</v>
      </c>
      <c r="B40" s="6" t="s">
        <v>149</v>
      </c>
      <c r="C40" s="1" t="s">
        <v>225</v>
      </c>
      <c r="D40" s="14">
        <v>43466</v>
      </c>
    </row>
    <row r="41" spans="1:4" x14ac:dyDescent="0.2">
      <c r="A41" s="1" t="s">
        <v>226</v>
      </c>
      <c r="B41" s="6" t="s">
        <v>149</v>
      </c>
      <c r="C41" s="1" t="s">
        <v>227</v>
      </c>
      <c r="D41" s="14">
        <v>43466</v>
      </c>
    </row>
    <row r="42" spans="1:4" x14ac:dyDescent="0.2">
      <c r="A42" s="1" t="s">
        <v>228</v>
      </c>
      <c r="B42" s="6" t="s">
        <v>149</v>
      </c>
      <c r="C42" s="1" t="s">
        <v>229</v>
      </c>
      <c r="D42" s="14">
        <v>43466</v>
      </c>
    </row>
    <row r="43" spans="1:4" x14ac:dyDescent="0.2">
      <c r="A43" s="1" t="s">
        <v>230</v>
      </c>
      <c r="B43" s="6" t="s">
        <v>149</v>
      </c>
      <c r="C43" s="1" t="s">
        <v>231</v>
      </c>
      <c r="D43" s="14">
        <v>43466</v>
      </c>
    </row>
    <row r="44" spans="1:4" x14ac:dyDescent="0.2">
      <c r="A44" s="1" t="s">
        <v>232</v>
      </c>
      <c r="B44" s="6" t="s">
        <v>149</v>
      </c>
      <c r="C44" s="1" t="s">
        <v>233</v>
      </c>
      <c r="D44" s="14">
        <v>43466</v>
      </c>
    </row>
    <row r="45" spans="1:4" x14ac:dyDescent="0.2">
      <c r="A45" s="1" t="s">
        <v>234</v>
      </c>
      <c r="B45" s="6" t="s">
        <v>149</v>
      </c>
      <c r="C45" s="1" t="s">
        <v>235</v>
      </c>
      <c r="D45" s="14">
        <v>43466</v>
      </c>
    </row>
  </sheetData>
  <autoFilter ref="A2:D2" xr:uid="{AD123306-47B0-40AF-858D-DDC496B96DDB}"/>
  <mergeCells count="1">
    <mergeCell ref="A1:B1"/>
  </mergeCells>
  <pageMargins left="0" right="0" top="0.39370078740157483" bottom="0.39370078740157483" header="0" footer="0"/>
  <pageSetup paperSize="9" orientation="portrait" verticalDpi="0" r:id="rId1"/>
  <headerFooter>
    <oddHeader>&amp;C&amp;A</oddHeader>
    <oddFooter>&amp;CPagina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5"/>
  <dimension ref="A1:AMJ4"/>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9" defaultRowHeight="12.75" x14ac:dyDescent="0.2"/>
  <cols>
    <col min="1" max="1" width="13.625" style="1" bestFit="1" customWidth="1"/>
    <col min="2" max="2" width="32.625" style="1" customWidth="1"/>
    <col min="3" max="3" width="5.75" style="1" bestFit="1" customWidth="1"/>
    <col min="4" max="4" width="7.5" style="1" bestFit="1" customWidth="1"/>
    <col min="5" max="5" width="6.375" style="1" bestFit="1" customWidth="1"/>
    <col min="6" max="6" width="10.625" style="1" bestFit="1" customWidth="1"/>
    <col min="7" max="7" width="18.25" style="1" bestFit="1" customWidth="1"/>
    <col min="8" max="8" width="60.5" style="1" customWidth="1"/>
    <col min="9" max="9" width="13.375" style="1" customWidth="1"/>
    <col min="10" max="1024" width="55.75" style="1" customWidth="1"/>
    <col min="1025" max="16384" width="9" style="25"/>
  </cols>
  <sheetData>
    <row r="1" spans="1:9" x14ac:dyDescent="0.2">
      <c r="A1" s="44" t="str">
        <f>CONCATENATE("Eigenschappen bij zaaktype ",Zaaktype!B3,": ",Zaaktype!B4)</f>
        <v>Eigenschappen bij zaaktype 19: Bibob-onderzoek uitvoeren</v>
      </c>
      <c r="B1" s="44"/>
      <c r="C1" s="44"/>
    </row>
    <row r="2" spans="1:9" s="26" customFormat="1" ht="25.5" x14ac:dyDescent="0.2">
      <c r="A2" s="7" t="s">
        <v>236</v>
      </c>
      <c r="B2" s="7" t="s">
        <v>237</v>
      </c>
      <c r="C2" s="7" t="s">
        <v>238</v>
      </c>
      <c r="D2" s="7" t="s">
        <v>239</v>
      </c>
      <c r="E2" s="7" t="s">
        <v>240</v>
      </c>
      <c r="F2" s="7" t="s">
        <v>241</v>
      </c>
      <c r="G2" s="7" t="s">
        <v>242</v>
      </c>
      <c r="H2" s="7" t="s">
        <v>62</v>
      </c>
      <c r="I2" s="7" t="s">
        <v>66</v>
      </c>
    </row>
    <row r="3" spans="1:9" ht="102" x14ac:dyDescent="0.2">
      <c r="A3" s="6" t="s">
        <v>243</v>
      </c>
      <c r="B3" s="6" t="s">
        <v>244</v>
      </c>
      <c r="C3" s="6"/>
      <c r="D3" s="6" t="s">
        <v>245</v>
      </c>
      <c r="E3" s="6"/>
      <c r="F3" s="6"/>
      <c r="G3" s="6"/>
      <c r="H3" s="6" t="s">
        <v>246</v>
      </c>
      <c r="I3" s="14">
        <v>44530</v>
      </c>
    </row>
    <row r="4" spans="1:9" ht="25.5" x14ac:dyDescent="0.2">
      <c r="A4" s="6" t="s">
        <v>247</v>
      </c>
      <c r="B4" s="6" t="s">
        <v>248</v>
      </c>
      <c r="C4" s="6"/>
      <c r="D4" s="6" t="s">
        <v>249</v>
      </c>
      <c r="E4" s="6"/>
      <c r="F4" s="6"/>
      <c r="G4" s="6"/>
      <c r="H4" s="6"/>
      <c r="I4" s="14">
        <v>44530</v>
      </c>
    </row>
  </sheetData>
  <mergeCells count="1">
    <mergeCell ref="A1:C1"/>
  </mergeCells>
  <pageMargins left="0" right="0" top="0.39370078740157483" bottom="0.39370078740157483" header="0" footer="0"/>
  <headerFooter>
    <oddHeader>&amp;C&amp;A</oddHeader>
    <oddFooter>&amp;CPagina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6"/>
  <dimension ref="A1:AMH20"/>
  <sheetViews>
    <sheetView workbookViewId="0">
      <selection activeCell="B4" sqref="B4"/>
    </sheetView>
  </sheetViews>
  <sheetFormatPr defaultColWidth="9" defaultRowHeight="12.75" x14ac:dyDescent="0.2"/>
  <cols>
    <col min="1" max="1" width="11.125" style="9" bestFit="1" customWidth="1"/>
    <col min="2" max="2" width="11" style="9" customWidth="1"/>
    <col min="3" max="3" width="39.625" style="9" bestFit="1" customWidth="1"/>
    <col min="4" max="4" width="26.375" style="9" bestFit="1" customWidth="1"/>
    <col min="5" max="1022" width="40.875" style="9" customWidth="1"/>
    <col min="1023" max="16384" width="9" style="11"/>
  </cols>
  <sheetData>
    <row r="1" spans="1:3" x14ac:dyDescent="0.2">
      <c r="A1" s="42" t="str">
        <f>CONCATENATE("Informatieobjecttypen bij zaaktype ",Zaaktype!B3,": ",Zaaktype!B4)</f>
        <v>Informatieobjecttypen bij zaaktype 19: Bibob-onderzoek uitvoeren</v>
      </c>
      <c r="B1" s="42"/>
      <c r="C1" s="42"/>
    </row>
    <row r="2" spans="1:3" x14ac:dyDescent="0.2">
      <c r="A2" s="3" t="s">
        <v>250</v>
      </c>
      <c r="B2" s="3" t="s">
        <v>251</v>
      </c>
      <c r="C2" s="3" t="s">
        <v>252</v>
      </c>
    </row>
    <row r="3" spans="1:3" x14ac:dyDescent="0.2">
      <c r="A3" s="1">
        <v>1</v>
      </c>
      <c r="B3" s="1" t="s">
        <v>253</v>
      </c>
      <c r="C3" s="12" t="s">
        <v>254</v>
      </c>
    </row>
    <row r="4" spans="1:3" x14ac:dyDescent="0.2">
      <c r="A4" s="1">
        <v>2</v>
      </c>
      <c r="B4" s="1" t="s">
        <v>14</v>
      </c>
      <c r="C4" s="12" t="s">
        <v>255</v>
      </c>
    </row>
    <row r="5" spans="1:3" x14ac:dyDescent="0.2">
      <c r="A5" s="1">
        <v>3</v>
      </c>
      <c r="B5" s="1" t="s">
        <v>14</v>
      </c>
      <c r="C5" s="12" t="s">
        <v>256</v>
      </c>
    </row>
    <row r="6" spans="1:3" x14ac:dyDescent="0.2">
      <c r="A6" s="1">
        <v>4</v>
      </c>
      <c r="B6" s="1" t="s">
        <v>14</v>
      </c>
      <c r="C6" s="12" t="s">
        <v>257</v>
      </c>
    </row>
    <row r="7" spans="1:3" x14ac:dyDescent="0.2">
      <c r="A7" s="1">
        <v>5</v>
      </c>
      <c r="B7" s="1" t="s">
        <v>14</v>
      </c>
      <c r="C7" s="12" t="s">
        <v>258</v>
      </c>
    </row>
    <row r="8" spans="1:3" x14ac:dyDescent="0.2">
      <c r="A8" s="1">
        <v>6</v>
      </c>
      <c r="B8" s="1" t="s">
        <v>14</v>
      </c>
      <c r="C8" s="12" t="s">
        <v>259</v>
      </c>
    </row>
    <row r="9" spans="1:3" x14ac:dyDescent="0.2">
      <c r="A9" s="1">
        <v>7</v>
      </c>
      <c r="B9" s="1" t="s">
        <v>14</v>
      </c>
      <c r="C9" s="12" t="s">
        <v>260</v>
      </c>
    </row>
    <row r="10" spans="1:3" x14ac:dyDescent="0.2">
      <c r="A10" s="1">
        <v>8</v>
      </c>
      <c r="B10" s="1" t="s">
        <v>261</v>
      </c>
      <c r="C10" s="12" t="s">
        <v>262</v>
      </c>
    </row>
    <row r="11" spans="1:3" x14ac:dyDescent="0.2">
      <c r="A11" s="1">
        <v>9</v>
      </c>
      <c r="B11" s="1" t="s">
        <v>261</v>
      </c>
      <c r="C11" s="12" t="s">
        <v>263</v>
      </c>
    </row>
    <row r="12" spans="1:3" x14ac:dyDescent="0.2">
      <c r="A12" s="1">
        <v>10</v>
      </c>
      <c r="B12" s="1" t="s">
        <v>261</v>
      </c>
      <c r="C12" s="12" t="s">
        <v>264</v>
      </c>
    </row>
    <row r="13" spans="1:3" x14ac:dyDescent="0.2">
      <c r="A13" s="1">
        <v>11</v>
      </c>
      <c r="B13" s="1" t="s">
        <v>261</v>
      </c>
      <c r="C13" s="12" t="s">
        <v>265</v>
      </c>
    </row>
    <row r="14" spans="1:3" x14ac:dyDescent="0.2">
      <c r="A14" s="1">
        <v>12</v>
      </c>
      <c r="B14" s="1" t="s">
        <v>261</v>
      </c>
      <c r="C14" s="12" t="s">
        <v>266</v>
      </c>
    </row>
    <row r="15" spans="1:3" x14ac:dyDescent="0.2">
      <c r="A15" s="1">
        <v>13</v>
      </c>
      <c r="B15" s="1" t="s">
        <v>261</v>
      </c>
      <c r="C15" s="12" t="s">
        <v>267</v>
      </c>
    </row>
    <row r="16" spans="1:3" x14ac:dyDescent="0.2">
      <c r="A16" s="1">
        <v>14</v>
      </c>
      <c r="B16" s="1" t="s">
        <v>261</v>
      </c>
      <c r="C16" s="12" t="s">
        <v>268</v>
      </c>
    </row>
    <row r="17" spans="1:1022" x14ac:dyDescent="0.2">
      <c r="A17" s="1">
        <v>15</v>
      </c>
      <c r="B17" s="1" t="s">
        <v>261</v>
      </c>
      <c r="C17" s="12" t="s">
        <v>269</v>
      </c>
    </row>
    <row r="18" spans="1:1022" x14ac:dyDescent="0.2">
      <c r="A18" s="1">
        <v>16</v>
      </c>
      <c r="B18" s="1" t="s">
        <v>261</v>
      </c>
      <c r="C18" s="12" t="s">
        <v>270</v>
      </c>
    </row>
    <row r="19" spans="1:1022" x14ac:dyDescent="0.2">
      <c r="A19" s="1">
        <v>17</v>
      </c>
      <c r="B19" s="1" t="s">
        <v>261</v>
      </c>
      <c r="C19" s="12" t="s">
        <v>271</v>
      </c>
    </row>
    <row r="20" spans="1:1022" s="48" customFormat="1" x14ac:dyDescent="0.2">
      <c r="A20" s="45">
        <v>18</v>
      </c>
      <c r="B20" s="46" t="s">
        <v>14</v>
      </c>
      <c r="C20" s="47" t="s">
        <v>272</v>
      </c>
      <c r="D20" s="45"/>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K20" s="45"/>
      <c r="BL20" s="45"/>
      <c r="BM20" s="45"/>
      <c r="BN20" s="45"/>
      <c r="BO20" s="45"/>
      <c r="BP20" s="45"/>
      <c r="BQ20" s="45"/>
      <c r="BR20" s="45"/>
      <c r="BS20" s="45"/>
      <c r="BT20" s="45"/>
      <c r="BU20" s="45"/>
      <c r="BV20" s="45"/>
      <c r="BW20" s="45"/>
      <c r="BX20" s="45"/>
      <c r="BY20" s="45"/>
      <c r="BZ20" s="45"/>
      <c r="CA20" s="45"/>
      <c r="CB20" s="45"/>
      <c r="CC20" s="45"/>
      <c r="CD20" s="45"/>
      <c r="CE20" s="45"/>
      <c r="CF20" s="45"/>
      <c r="CG20" s="45"/>
      <c r="CH20" s="45"/>
      <c r="CI20" s="45"/>
      <c r="CJ20" s="45"/>
      <c r="CK20" s="45"/>
      <c r="CL20" s="45"/>
      <c r="CM20" s="45"/>
      <c r="CN20" s="45"/>
      <c r="CO20" s="45"/>
      <c r="CP20" s="45"/>
      <c r="CQ20" s="45"/>
      <c r="CR20" s="45"/>
      <c r="CS20" s="45"/>
      <c r="CT20" s="45"/>
      <c r="CU20" s="45"/>
      <c r="CV20" s="45"/>
      <c r="CW20" s="45"/>
      <c r="CX20" s="45"/>
      <c r="CY20" s="45"/>
      <c r="CZ20" s="45"/>
      <c r="DA20" s="45"/>
      <c r="DB20" s="45"/>
      <c r="DC20" s="45"/>
      <c r="DD20" s="45"/>
      <c r="DE20" s="45"/>
      <c r="DF20" s="45"/>
      <c r="DG20" s="45"/>
      <c r="DH20" s="45"/>
      <c r="DI20" s="45"/>
      <c r="DJ20" s="45"/>
      <c r="DK20" s="45"/>
      <c r="DL20" s="45"/>
      <c r="DM20" s="45"/>
      <c r="DN20" s="45"/>
      <c r="DO20" s="45"/>
      <c r="DP20" s="45"/>
      <c r="DQ20" s="45"/>
      <c r="DR20" s="45"/>
      <c r="DS20" s="45"/>
      <c r="DT20" s="45"/>
      <c r="DU20" s="45"/>
      <c r="DV20" s="45"/>
      <c r="DW20" s="45"/>
      <c r="DX20" s="45"/>
      <c r="DY20" s="45"/>
      <c r="DZ20" s="45"/>
      <c r="EA20" s="45"/>
      <c r="EB20" s="45"/>
      <c r="EC20" s="45"/>
      <c r="ED20" s="45"/>
      <c r="EE20" s="45"/>
      <c r="EF20" s="45"/>
      <c r="EG20" s="45"/>
      <c r="EH20" s="45"/>
      <c r="EI20" s="45"/>
      <c r="EJ20" s="45"/>
      <c r="EK20" s="45"/>
      <c r="EL20" s="45"/>
      <c r="EM20" s="45"/>
      <c r="EN20" s="45"/>
      <c r="EO20" s="45"/>
      <c r="EP20" s="45"/>
      <c r="EQ20" s="45"/>
      <c r="ER20" s="45"/>
      <c r="ES20" s="45"/>
      <c r="ET20" s="45"/>
      <c r="EU20" s="45"/>
      <c r="EV20" s="45"/>
      <c r="EW20" s="45"/>
      <c r="EX20" s="45"/>
      <c r="EY20" s="45"/>
      <c r="EZ20" s="45"/>
      <c r="FA20" s="45"/>
      <c r="FB20" s="45"/>
      <c r="FC20" s="45"/>
      <c r="FD20" s="45"/>
      <c r="FE20" s="45"/>
      <c r="FF20" s="45"/>
      <c r="FG20" s="45"/>
      <c r="FH20" s="45"/>
      <c r="FI20" s="45"/>
      <c r="FJ20" s="45"/>
      <c r="FK20" s="45"/>
      <c r="FL20" s="45"/>
      <c r="FM20" s="45"/>
      <c r="FN20" s="45"/>
      <c r="FO20" s="45"/>
      <c r="FP20" s="45"/>
      <c r="FQ20" s="45"/>
      <c r="FR20" s="45"/>
      <c r="FS20" s="45"/>
      <c r="FT20" s="45"/>
      <c r="FU20" s="45"/>
      <c r="FV20" s="45"/>
      <c r="FW20" s="45"/>
      <c r="FX20" s="45"/>
      <c r="FY20" s="45"/>
      <c r="FZ20" s="45"/>
      <c r="GA20" s="45"/>
      <c r="GB20" s="45"/>
      <c r="GC20" s="45"/>
      <c r="GD20" s="45"/>
      <c r="GE20" s="45"/>
      <c r="GF20" s="45"/>
      <c r="GG20" s="45"/>
      <c r="GH20" s="45"/>
      <c r="GI20" s="45"/>
      <c r="GJ20" s="45"/>
      <c r="GK20" s="45"/>
      <c r="GL20" s="45"/>
      <c r="GM20" s="45"/>
      <c r="GN20" s="45"/>
      <c r="GO20" s="45"/>
      <c r="GP20" s="45"/>
      <c r="GQ20" s="45"/>
      <c r="GR20" s="45"/>
      <c r="GS20" s="45"/>
      <c r="GT20" s="45"/>
      <c r="GU20" s="45"/>
      <c r="GV20" s="45"/>
      <c r="GW20" s="45"/>
      <c r="GX20" s="45"/>
      <c r="GY20" s="45"/>
      <c r="GZ20" s="45"/>
      <c r="HA20" s="45"/>
      <c r="HB20" s="45"/>
      <c r="HC20" s="45"/>
      <c r="HD20" s="45"/>
      <c r="HE20" s="45"/>
      <c r="HF20" s="45"/>
      <c r="HG20" s="45"/>
      <c r="HH20" s="45"/>
      <c r="HI20" s="45"/>
      <c r="HJ20" s="45"/>
      <c r="HK20" s="45"/>
      <c r="HL20" s="45"/>
      <c r="HM20" s="45"/>
      <c r="HN20" s="45"/>
      <c r="HO20" s="45"/>
      <c r="HP20" s="45"/>
      <c r="HQ20" s="45"/>
      <c r="HR20" s="45"/>
      <c r="HS20" s="45"/>
      <c r="HT20" s="45"/>
      <c r="HU20" s="45"/>
      <c r="HV20" s="45"/>
      <c r="HW20" s="45"/>
      <c r="HX20" s="45"/>
      <c r="HY20" s="45"/>
      <c r="HZ20" s="45"/>
      <c r="IA20" s="45"/>
      <c r="IB20" s="45"/>
      <c r="IC20" s="45"/>
      <c r="ID20" s="45"/>
      <c r="IE20" s="45"/>
      <c r="IF20" s="45"/>
      <c r="IG20" s="45"/>
      <c r="IH20" s="45"/>
      <c r="II20" s="45"/>
      <c r="IJ20" s="45"/>
      <c r="IK20" s="45"/>
      <c r="IL20" s="45"/>
      <c r="IM20" s="45"/>
      <c r="IN20" s="45"/>
      <c r="IO20" s="45"/>
      <c r="IP20" s="45"/>
      <c r="IQ20" s="45"/>
      <c r="IR20" s="45"/>
      <c r="IS20" s="45"/>
      <c r="IT20" s="45"/>
      <c r="IU20" s="45"/>
      <c r="IV20" s="45"/>
      <c r="IW20" s="45"/>
      <c r="IX20" s="45"/>
      <c r="IY20" s="45"/>
      <c r="IZ20" s="45"/>
      <c r="JA20" s="45"/>
      <c r="JB20" s="45"/>
      <c r="JC20" s="45"/>
      <c r="JD20" s="45"/>
      <c r="JE20" s="45"/>
      <c r="JF20" s="45"/>
      <c r="JG20" s="45"/>
      <c r="JH20" s="45"/>
      <c r="JI20" s="45"/>
      <c r="JJ20" s="45"/>
      <c r="JK20" s="45"/>
      <c r="JL20" s="45"/>
      <c r="JM20" s="45"/>
      <c r="JN20" s="45"/>
      <c r="JO20" s="45"/>
      <c r="JP20" s="45"/>
      <c r="JQ20" s="45"/>
      <c r="JR20" s="45"/>
      <c r="JS20" s="45"/>
      <c r="JT20" s="45"/>
      <c r="JU20" s="45"/>
      <c r="JV20" s="45"/>
      <c r="JW20" s="45"/>
      <c r="JX20" s="45"/>
      <c r="JY20" s="45"/>
      <c r="JZ20" s="45"/>
      <c r="KA20" s="45"/>
      <c r="KB20" s="45"/>
      <c r="KC20" s="45"/>
      <c r="KD20" s="45"/>
      <c r="KE20" s="45"/>
      <c r="KF20" s="45"/>
      <c r="KG20" s="45"/>
      <c r="KH20" s="45"/>
      <c r="KI20" s="45"/>
      <c r="KJ20" s="45"/>
      <c r="KK20" s="45"/>
      <c r="KL20" s="45"/>
      <c r="KM20" s="45"/>
      <c r="KN20" s="45"/>
      <c r="KO20" s="45"/>
      <c r="KP20" s="45"/>
      <c r="KQ20" s="45"/>
      <c r="KR20" s="45"/>
      <c r="KS20" s="45"/>
      <c r="KT20" s="45"/>
      <c r="KU20" s="45"/>
      <c r="KV20" s="45"/>
      <c r="KW20" s="45"/>
      <c r="KX20" s="45"/>
      <c r="KY20" s="45"/>
      <c r="KZ20" s="45"/>
      <c r="LA20" s="45"/>
      <c r="LB20" s="45"/>
      <c r="LC20" s="45"/>
      <c r="LD20" s="45"/>
      <c r="LE20" s="45"/>
      <c r="LF20" s="45"/>
      <c r="LG20" s="45"/>
      <c r="LH20" s="45"/>
      <c r="LI20" s="45"/>
      <c r="LJ20" s="45"/>
      <c r="LK20" s="45"/>
      <c r="LL20" s="45"/>
      <c r="LM20" s="45"/>
      <c r="LN20" s="45"/>
      <c r="LO20" s="45"/>
      <c r="LP20" s="45"/>
      <c r="LQ20" s="45"/>
      <c r="LR20" s="45"/>
      <c r="LS20" s="45"/>
      <c r="LT20" s="45"/>
      <c r="LU20" s="45"/>
      <c r="LV20" s="45"/>
      <c r="LW20" s="45"/>
      <c r="LX20" s="45"/>
      <c r="LY20" s="45"/>
      <c r="LZ20" s="45"/>
      <c r="MA20" s="45"/>
      <c r="MB20" s="45"/>
      <c r="MC20" s="45"/>
      <c r="MD20" s="45"/>
      <c r="ME20" s="45"/>
      <c r="MF20" s="45"/>
      <c r="MG20" s="45"/>
      <c r="MH20" s="45"/>
      <c r="MI20" s="45"/>
      <c r="MJ20" s="45"/>
      <c r="MK20" s="45"/>
      <c r="ML20" s="45"/>
      <c r="MM20" s="45"/>
      <c r="MN20" s="45"/>
      <c r="MO20" s="45"/>
      <c r="MP20" s="45"/>
      <c r="MQ20" s="45"/>
      <c r="MR20" s="45"/>
      <c r="MS20" s="45"/>
      <c r="MT20" s="45"/>
      <c r="MU20" s="45"/>
      <c r="MV20" s="45"/>
      <c r="MW20" s="45"/>
      <c r="MX20" s="45"/>
      <c r="MY20" s="45"/>
      <c r="MZ20" s="45"/>
      <c r="NA20" s="45"/>
      <c r="NB20" s="45"/>
      <c r="NC20" s="45"/>
      <c r="ND20" s="45"/>
      <c r="NE20" s="45"/>
      <c r="NF20" s="45"/>
      <c r="NG20" s="45"/>
      <c r="NH20" s="45"/>
      <c r="NI20" s="45"/>
      <c r="NJ20" s="45"/>
      <c r="NK20" s="45"/>
      <c r="NL20" s="45"/>
      <c r="NM20" s="45"/>
      <c r="NN20" s="45"/>
      <c r="NO20" s="45"/>
      <c r="NP20" s="45"/>
      <c r="NQ20" s="45"/>
      <c r="NR20" s="45"/>
      <c r="NS20" s="45"/>
      <c r="NT20" s="45"/>
      <c r="NU20" s="45"/>
      <c r="NV20" s="45"/>
      <c r="NW20" s="45"/>
      <c r="NX20" s="45"/>
      <c r="NY20" s="45"/>
      <c r="NZ20" s="45"/>
      <c r="OA20" s="45"/>
      <c r="OB20" s="45"/>
      <c r="OC20" s="45"/>
      <c r="OD20" s="45"/>
      <c r="OE20" s="45"/>
      <c r="OF20" s="45"/>
      <c r="OG20" s="45"/>
      <c r="OH20" s="45"/>
      <c r="OI20" s="45"/>
      <c r="OJ20" s="45"/>
      <c r="OK20" s="45"/>
      <c r="OL20" s="45"/>
      <c r="OM20" s="45"/>
      <c r="ON20" s="45"/>
      <c r="OO20" s="45"/>
      <c r="OP20" s="45"/>
      <c r="OQ20" s="45"/>
      <c r="OR20" s="45"/>
      <c r="OS20" s="45"/>
      <c r="OT20" s="45"/>
      <c r="OU20" s="45"/>
      <c r="OV20" s="45"/>
      <c r="OW20" s="45"/>
      <c r="OX20" s="45"/>
      <c r="OY20" s="45"/>
      <c r="OZ20" s="45"/>
      <c r="PA20" s="45"/>
      <c r="PB20" s="45"/>
      <c r="PC20" s="45"/>
      <c r="PD20" s="45"/>
      <c r="PE20" s="45"/>
      <c r="PF20" s="45"/>
      <c r="PG20" s="45"/>
      <c r="PH20" s="45"/>
      <c r="PI20" s="45"/>
      <c r="PJ20" s="45"/>
      <c r="PK20" s="45"/>
      <c r="PL20" s="45"/>
      <c r="PM20" s="45"/>
      <c r="PN20" s="45"/>
      <c r="PO20" s="45"/>
      <c r="PP20" s="45"/>
      <c r="PQ20" s="45"/>
      <c r="PR20" s="45"/>
      <c r="PS20" s="45"/>
      <c r="PT20" s="45"/>
      <c r="PU20" s="45"/>
      <c r="PV20" s="45"/>
      <c r="PW20" s="45"/>
      <c r="PX20" s="45"/>
      <c r="PY20" s="45"/>
      <c r="PZ20" s="45"/>
      <c r="QA20" s="45"/>
      <c r="QB20" s="45"/>
      <c r="QC20" s="45"/>
      <c r="QD20" s="45"/>
      <c r="QE20" s="45"/>
      <c r="QF20" s="45"/>
      <c r="QG20" s="45"/>
      <c r="QH20" s="45"/>
      <c r="QI20" s="45"/>
      <c r="QJ20" s="45"/>
      <c r="QK20" s="45"/>
      <c r="QL20" s="45"/>
      <c r="QM20" s="45"/>
      <c r="QN20" s="45"/>
      <c r="QO20" s="45"/>
      <c r="QP20" s="45"/>
      <c r="QQ20" s="45"/>
      <c r="QR20" s="45"/>
      <c r="QS20" s="45"/>
      <c r="QT20" s="45"/>
      <c r="QU20" s="45"/>
      <c r="QV20" s="45"/>
      <c r="QW20" s="45"/>
      <c r="QX20" s="45"/>
      <c r="QY20" s="45"/>
      <c r="QZ20" s="45"/>
      <c r="RA20" s="45"/>
      <c r="RB20" s="45"/>
      <c r="RC20" s="45"/>
      <c r="RD20" s="45"/>
      <c r="RE20" s="45"/>
      <c r="RF20" s="45"/>
      <c r="RG20" s="45"/>
      <c r="RH20" s="45"/>
      <c r="RI20" s="45"/>
      <c r="RJ20" s="45"/>
      <c r="RK20" s="45"/>
      <c r="RL20" s="45"/>
      <c r="RM20" s="45"/>
      <c r="RN20" s="45"/>
      <c r="RO20" s="45"/>
      <c r="RP20" s="45"/>
      <c r="RQ20" s="45"/>
      <c r="RR20" s="45"/>
      <c r="RS20" s="45"/>
      <c r="RT20" s="45"/>
      <c r="RU20" s="45"/>
      <c r="RV20" s="45"/>
      <c r="RW20" s="45"/>
      <c r="RX20" s="45"/>
      <c r="RY20" s="45"/>
      <c r="RZ20" s="45"/>
      <c r="SA20" s="45"/>
      <c r="SB20" s="45"/>
      <c r="SC20" s="45"/>
      <c r="SD20" s="45"/>
      <c r="SE20" s="45"/>
      <c r="SF20" s="45"/>
      <c r="SG20" s="45"/>
      <c r="SH20" s="45"/>
      <c r="SI20" s="45"/>
      <c r="SJ20" s="45"/>
      <c r="SK20" s="45"/>
      <c r="SL20" s="45"/>
      <c r="SM20" s="45"/>
      <c r="SN20" s="45"/>
      <c r="SO20" s="45"/>
      <c r="SP20" s="45"/>
      <c r="SQ20" s="45"/>
      <c r="SR20" s="45"/>
      <c r="SS20" s="45"/>
      <c r="ST20" s="45"/>
      <c r="SU20" s="45"/>
      <c r="SV20" s="45"/>
      <c r="SW20" s="45"/>
      <c r="SX20" s="45"/>
      <c r="SY20" s="45"/>
      <c r="SZ20" s="45"/>
      <c r="TA20" s="45"/>
      <c r="TB20" s="45"/>
      <c r="TC20" s="45"/>
      <c r="TD20" s="45"/>
      <c r="TE20" s="45"/>
      <c r="TF20" s="45"/>
      <c r="TG20" s="45"/>
      <c r="TH20" s="45"/>
      <c r="TI20" s="45"/>
      <c r="TJ20" s="45"/>
      <c r="TK20" s="45"/>
      <c r="TL20" s="45"/>
      <c r="TM20" s="45"/>
      <c r="TN20" s="45"/>
      <c r="TO20" s="45"/>
      <c r="TP20" s="45"/>
      <c r="TQ20" s="45"/>
      <c r="TR20" s="45"/>
      <c r="TS20" s="45"/>
      <c r="TT20" s="45"/>
      <c r="TU20" s="45"/>
      <c r="TV20" s="45"/>
      <c r="TW20" s="45"/>
      <c r="TX20" s="45"/>
      <c r="TY20" s="45"/>
      <c r="TZ20" s="45"/>
      <c r="UA20" s="45"/>
      <c r="UB20" s="45"/>
      <c r="UC20" s="45"/>
      <c r="UD20" s="45"/>
      <c r="UE20" s="45"/>
      <c r="UF20" s="45"/>
      <c r="UG20" s="45"/>
      <c r="UH20" s="45"/>
      <c r="UI20" s="45"/>
      <c r="UJ20" s="45"/>
      <c r="UK20" s="45"/>
      <c r="UL20" s="45"/>
      <c r="UM20" s="45"/>
      <c r="UN20" s="45"/>
      <c r="UO20" s="45"/>
      <c r="UP20" s="45"/>
      <c r="UQ20" s="45"/>
      <c r="UR20" s="45"/>
      <c r="US20" s="45"/>
      <c r="UT20" s="45"/>
      <c r="UU20" s="45"/>
      <c r="UV20" s="45"/>
      <c r="UW20" s="45"/>
      <c r="UX20" s="45"/>
      <c r="UY20" s="45"/>
      <c r="UZ20" s="45"/>
      <c r="VA20" s="45"/>
      <c r="VB20" s="45"/>
      <c r="VC20" s="45"/>
      <c r="VD20" s="45"/>
      <c r="VE20" s="45"/>
      <c r="VF20" s="45"/>
      <c r="VG20" s="45"/>
      <c r="VH20" s="45"/>
      <c r="VI20" s="45"/>
      <c r="VJ20" s="45"/>
      <c r="VK20" s="45"/>
      <c r="VL20" s="45"/>
      <c r="VM20" s="45"/>
      <c r="VN20" s="45"/>
      <c r="VO20" s="45"/>
      <c r="VP20" s="45"/>
      <c r="VQ20" s="45"/>
      <c r="VR20" s="45"/>
      <c r="VS20" s="45"/>
      <c r="VT20" s="45"/>
      <c r="VU20" s="45"/>
      <c r="VV20" s="45"/>
      <c r="VW20" s="45"/>
      <c r="VX20" s="45"/>
      <c r="VY20" s="45"/>
      <c r="VZ20" s="45"/>
      <c r="WA20" s="45"/>
      <c r="WB20" s="45"/>
      <c r="WC20" s="45"/>
      <c r="WD20" s="45"/>
      <c r="WE20" s="45"/>
      <c r="WF20" s="45"/>
      <c r="WG20" s="45"/>
      <c r="WH20" s="45"/>
      <c r="WI20" s="45"/>
      <c r="WJ20" s="45"/>
      <c r="WK20" s="45"/>
      <c r="WL20" s="45"/>
      <c r="WM20" s="45"/>
      <c r="WN20" s="45"/>
      <c r="WO20" s="45"/>
      <c r="WP20" s="45"/>
      <c r="WQ20" s="45"/>
      <c r="WR20" s="45"/>
      <c r="WS20" s="45"/>
      <c r="WT20" s="45"/>
      <c r="WU20" s="45"/>
      <c r="WV20" s="45"/>
      <c r="WW20" s="45"/>
      <c r="WX20" s="45"/>
      <c r="WY20" s="45"/>
      <c r="WZ20" s="45"/>
      <c r="XA20" s="45"/>
      <c r="XB20" s="45"/>
      <c r="XC20" s="45"/>
      <c r="XD20" s="45"/>
      <c r="XE20" s="45"/>
      <c r="XF20" s="45"/>
      <c r="XG20" s="45"/>
      <c r="XH20" s="45"/>
      <c r="XI20" s="45"/>
      <c r="XJ20" s="45"/>
      <c r="XK20" s="45"/>
      <c r="XL20" s="45"/>
      <c r="XM20" s="45"/>
      <c r="XN20" s="45"/>
      <c r="XO20" s="45"/>
      <c r="XP20" s="45"/>
      <c r="XQ20" s="45"/>
      <c r="XR20" s="45"/>
      <c r="XS20" s="45"/>
      <c r="XT20" s="45"/>
      <c r="XU20" s="45"/>
      <c r="XV20" s="45"/>
      <c r="XW20" s="45"/>
      <c r="XX20" s="45"/>
      <c r="XY20" s="45"/>
      <c r="XZ20" s="45"/>
      <c r="YA20" s="45"/>
      <c r="YB20" s="45"/>
      <c r="YC20" s="45"/>
      <c r="YD20" s="45"/>
      <c r="YE20" s="45"/>
      <c r="YF20" s="45"/>
      <c r="YG20" s="45"/>
      <c r="YH20" s="45"/>
      <c r="YI20" s="45"/>
      <c r="YJ20" s="45"/>
      <c r="YK20" s="45"/>
      <c r="YL20" s="45"/>
      <c r="YM20" s="45"/>
      <c r="YN20" s="45"/>
      <c r="YO20" s="45"/>
      <c r="YP20" s="45"/>
      <c r="YQ20" s="45"/>
      <c r="YR20" s="45"/>
      <c r="YS20" s="45"/>
      <c r="YT20" s="45"/>
      <c r="YU20" s="45"/>
      <c r="YV20" s="45"/>
      <c r="YW20" s="45"/>
      <c r="YX20" s="45"/>
      <c r="YY20" s="45"/>
      <c r="YZ20" s="45"/>
      <c r="ZA20" s="45"/>
      <c r="ZB20" s="45"/>
      <c r="ZC20" s="45"/>
      <c r="ZD20" s="45"/>
      <c r="ZE20" s="45"/>
      <c r="ZF20" s="45"/>
      <c r="ZG20" s="45"/>
      <c r="ZH20" s="45"/>
      <c r="ZI20" s="45"/>
      <c r="ZJ20" s="45"/>
      <c r="ZK20" s="45"/>
      <c r="ZL20" s="45"/>
      <c r="ZM20" s="45"/>
      <c r="ZN20" s="45"/>
      <c r="ZO20" s="45"/>
      <c r="ZP20" s="45"/>
      <c r="ZQ20" s="45"/>
      <c r="ZR20" s="45"/>
      <c r="ZS20" s="45"/>
      <c r="ZT20" s="45"/>
      <c r="ZU20" s="45"/>
      <c r="ZV20" s="45"/>
      <c r="ZW20" s="45"/>
      <c r="ZX20" s="45"/>
      <c r="ZY20" s="45"/>
      <c r="ZZ20" s="45"/>
      <c r="AAA20" s="45"/>
      <c r="AAB20" s="45"/>
      <c r="AAC20" s="45"/>
      <c r="AAD20" s="45"/>
      <c r="AAE20" s="45"/>
      <c r="AAF20" s="45"/>
      <c r="AAG20" s="45"/>
      <c r="AAH20" s="45"/>
      <c r="AAI20" s="45"/>
      <c r="AAJ20" s="45"/>
      <c r="AAK20" s="45"/>
      <c r="AAL20" s="45"/>
      <c r="AAM20" s="45"/>
      <c r="AAN20" s="45"/>
      <c r="AAO20" s="45"/>
      <c r="AAP20" s="45"/>
      <c r="AAQ20" s="45"/>
      <c r="AAR20" s="45"/>
      <c r="AAS20" s="45"/>
      <c r="AAT20" s="45"/>
      <c r="AAU20" s="45"/>
      <c r="AAV20" s="45"/>
      <c r="AAW20" s="45"/>
      <c r="AAX20" s="45"/>
      <c r="AAY20" s="45"/>
      <c r="AAZ20" s="45"/>
      <c r="ABA20" s="45"/>
      <c r="ABB20" s="45"/>
      <c r="ABC20" s="45"/>
      <c r="ABD20" s="45"/>
      <c r="ABE20" s="45"/>
      <c r="ABF20" s="45"/>
      <c r="ABG20" s="45"/>
      <c r="ABH20" s="45"/>
      <c r="ABI20" s="45"/>
      <c r="ABJ20" s="45"/>
      <c r="ABK20" s="45"/>
      <c r="ABL20" s="45"/>
      <c r="ABM20" s="45"/>
      <c r="ABN20" s="45"/>
      <c r="ABO20" s="45"/>
      <c r="ABP20" s="45"/>
      <c r="ABQ20" s="45"/>
      <c r="ABR20" s="45"/>
      <c r="ABS20" s="45"/>
      <c r="ABT20" s="45"/>
      <c r="ABU20" s="45"/>
      <c r="ABV20" s="45"/>
      <c r="ABW20" s="45"/>
      <c r="ABX20" s="45"/>
      <c r="ABY20" s="45"/>
      <c r="ABZ20" s="45"/>
      <c r="ACA20" s="45"/>
      <c r="ACB20" s="45"/>
      <c r="ACC20" s="45"/>
      <c r="ACD20" s="45"/>
      <c r="ACE20" s="45"/>
      <c r="ACF20" s="45"/>
      <c r="ACG20" s="45"/>
      <c r="ACH20" s="45"/>
      <c r="ACI20" s="45"/>
      <c r="ACJ20" s="45"/>
      <c r="ACK20" s="45"/>
      <c r="ACL20" s="45"/>
      <c r="ACM20" s="45"/>
      <c r="ACN20" s="45"/>
      <c r="ACO20" s="45"/>
      <c r="ACP20" s="45"/>
      <c r="ACQ20" s="45"/>
      <c r="ACR20" s="45"/>
      <c r="ACS20" s="45"/>
      <c r="ACT20" s="45"/>
      <c r="ACU20" s="45"/>
      <c r="ACV20" s="45"/>
      <c r="ACW20" s="45"/>
      <c r="ACX20" s="45"/>
      <c r="ACY20" s="45"/>
      <c r="ACZ20" s="45"/>
      <c r="ADA20" s="45"/>
      <c r="ADB20" s="45"/>
      <c r="ADC20" s="45"/>
      <c r="ADD20" s="45"/>
      <c r="ADE20" s="45"/>
      <c r="ADF20" s="45"/>
      <c r="ADG20" s="45"/>
      <c r="ADH20" s="45"/>
      <c r="ADI20" s="45"/>
      <c r="ADJ20" s="45"/>
      <c r="ADK20" s="45"/>
      <c r="ADL20" s="45"/>
      <c r="ADM20" s="45"/>
      <c r="ADN20" s="45"/>
      <c r="ADO20" s="45"/>
      <c r="ADP20" s="45"/>
      <c r="ADQ20" s="45"/>
      <c r="ADR20" s="45"/>
      <c r="ADS20" s="45"/>
      <c r="ADT20" s="45"/>
      <c r="ADU20" s="45"/>
      <c r="ADV20" s="45"/>
      <c r="ADW20" s="45"/>
      <c r="ADX20" s="45"/>
      <c r="ADY20" s="45"/>
      <c r="ADZ20" s="45"/>
      <c r="AEA20" s="45"/>
      <c r="AEB20" s="45"/>
      <c r="AEC20" s="45"/>
      <c r="AED20" s="45"/>
      <c r="AEE20" s="45"/>
      <c r="AEF20" s="45"/>
      <c r="AEG20" s="45"/>
      <c r="AEH20" s="45"/>
      <c r="AEI20" s="45"/>
      <c r="AEJ20" s="45"/>
      <c r="AEK20" s="45"/>
      <c r="AEL20" s="45"/>
      <c r="AEM20" s="45"/>
      <c r="AEN20" s="45"/>
      <c r="AEO20" s="45"/>
      <c r="AEP20" s="45"/>
      <c r="AEQ20" s="45"/>
      <c r="AER20" s="45"/>
      <c r="AES20" s="45"/>
      <c r="AET20" s="45"/>
      <c r="AEU20" s="45"/>
      <c r="AEV20" s="45"/>
      <c r="AEW20" s="45"/>
      <c r="AEX20" s="45"/>
      <c r="AEY20" s="45"/>
      <c r="AEZ20" s="45"/>
      <c r="AFA20" s="45"/>
      <c r="AFB20" s="45"/>
      <c r="AFC20" s="45"/>
      <c r="AFD20" s="45"/>
      <c r="AFE20" s="45"/>
      <c r="AFF20" s="45"/>
      <c r="AFG20" s="45"/>
      <c r="AFH20" s="45"/>
      <c r="AFI20" s="45"/>
      <c r="AFJ20" s="45"/>
      <c r="AFK20" s="45"/>
      <c r="AFL20" s="45"/>
      <c r="AFM20" s="45"/>
      <c r="AFN20" s="45"/>
      <c r="AFO20" s="45"/>
      <c r="AFP20" s="45"/>
      <c r="AFQ20" s="45"/>
      <c r="AFR20" s="45"/>
      <c r="AFS20" s="45"/>
      <c r="AFT20" s="45"/>
      <c r="AFU20" s="45"/>
      <c r="AFV20" s="45"/>
      <c r="AFW20" s="45"/>
      <c r="AFX20" s="45"/>
      <c r="AFY20" s="45"/>
      <c r="AFZ20" s="45"/>
      <c r="AGA20" s="45"/>
      <c r="AGB20" s="45"/>
      <c r="AGC20" s="45"/>
      <c r="AGD20" s="45"/>
      <c r="AGE20" s="45"/>
      <c r="AGF20" s="45"/>
      <c r="AGG20" s="45"/>
      <c r="AGH20" s="45"/>
      <c r="AGI20" s="45"/>
      <c r="AGJ20" s="45"/>
      <c r="AGK20" s="45"/>
      <c r="AGL20" s="45"/>
      <c r="AGM20" s="45"/>
      <c r="AGN20" s="45"/>
      <c r="AGO20" s="45"/>
      <c r="AGP20" s="45"/>
      <c r="AGQ20" s="45"/>
      <c r="AGR20" s="45"/>
      <c r="AGS20" s="45"/>
      <c r="AGT20" s="45"/>
      <c r="AGU20" s="45"/>
      <c r="AGV20" s="45"/>
      <c r="AGW20" s="45"/>
      <c r="AGX20" s="45"/>
      <c r="AGY20" s="45"/>
      <c r="AGZ20" s="45"/>
      <c r="AHA20" s="45"/>
      <c r="AHB20" s="45"/>
      <c r="AHC20" s="45"/>
      <c r="AHD20" s="45"/>
      <c r="AHE20" s="45"/>
      <c r="AHF20" s="45"/>
      <c r="AHG20" s="45"/>
      <c r="AHH20" s="45"/>
      <c r="AHI20" s="45"/>
      <c r="AHJ20" s="45"/>
      <c r="AHK20" s="45"/>
      <c r="AHL20" s="45"/>
      <c r="AHM20" s="45"/>
      <c r="AHN20" s="45"/>
      <c r="AHO20" s="45"/>
      <c r="AHP20" s="45"/>
      <c r="AHQ20" s="45"/>
      <c r="AHR20" s="45"/>
      <c r="AHS20" s="45"/>
      <c r="AHT20" s="45"/>
      <c r="AHU20" s="45"/>
      <c r="AHV20" s="45"/>
      <c r="AHW20" s="45"/>
      <c r="AHX20" s="45"/>
      <c r="AHY20" s="45"/>
      <c r="AHZ20" s="45"/>
      <c r="AIA20" s="45"/>
      <c r="AIB20" s="45"/>
      <c r="AIC20" s="45"/>
      <c r="AID20" s="45"/>
      <c r="AIE20" s="45"/>
      <c r="AIF20" s="45"/>
      <c r="AIG20" s="45"/>
      <c r="AIH20" s="45"/>
      <c r="AII20" s="45"/>
      <c r="AIJ20" s="45"/>
      <c r="AIK20" s="45"/>
      <c r="AIL20" s="45"/>
      <c r="AIM20" s="45"/>
      <c r="AIN20" s="45"/>
      <c r="AIO20" s="45"/>
      <c r="AIP20" s="45"/>
      <c r="AIQ20" s="45"/>
      <c r="AIR20" s="45"/>
      <c r="AIS20" s="45"/>
      <c r="AIT20" s="45"/>
      <c r="AIU20" s="45"/>
      <c r="AIV20" s="45"/>
      <c r="AIW20" s="45"/>
      <c r="AIX20" s="45"/>
      <c r="AIY20" s="45"/>
      <c r="AIZ20" s="45"/>
      <c r="AJA20" s="45"/>
      <c r="AJB20" s="45"/>
      <c r="AJC20" s="45"/>
      <c r="AJD20" s="45"/>
      <c r="AJE20" s="45"/>
      <c r="AJF20" s="45"/>
      <c r="AJG20" s="45"/>
      <c r="AJH20" s="45"/>
      <c r="AJI20" s="45"/>
      <c r="AJJ20" s="45"/>
      <c r="AJK20" s="45"/>
      <c r="AJL20" s="45"/>
      <c r="AJM20" s="45"/>
      <c r="AJN20" s="45"/>
      <c r="AJO20" s="45"/>
      <c r="AJP20" s="45"/>
      <c r="AJQ20" s="45"/>
      <c r="AJR20" s="45"/>
      <c r="AJS20" s="45"/>
      <c r="AJT20" s="45"/>
      <c r="AJU20" s="45"/>
      <c r="AJV20" s="45"/>
      <c r="AJW20" s="45"/>
      <c r="AJX20" s="45"/>
      <c r="AJY20" s="45"/>
      <c r="AJZ20" s="45"/>
      <c r="AKA20" s="45"/>
      <c r="AKB20" s="45"/>
      <c r="AKC20" s="45"/>
      <c r="AKD20" s="45"/>
      <c r="AKE20" s="45"/>
      <c r="AKF20" s="45"/>
      <c r="AKG20" s="45"/>
      <c r="AKH20" s="45"/>
      <c r="AKI20" s="45"/>
      <c r="AKJ20" s="45"/>
      <c r="AKK20" s="45"/>
      <c r="AKL20" s="45"/>
      <c r="AKM20" s="45"/>
      <c r="AKN20" s="45"/>
      <c r="AKO20" s="45"/>
      <c r="AKP20" s="45"/>
      <c r="AKQ20" s="45"/>
      <c r="AKR20" s="45"/>
      <c r="AKS20" s="45"/>
      <c r="AKT20" s="45"/>
      <c r="AKU20" s="45"/>
      <c r="AKV20" s="45"/>
      <c r="AKW20" s="45"/>
      <c r="AKX20" s="45"/>
      <c r="AKY20" s="45"/>
      <c r="AKZ20" s="45"/>
      <c r="ALA20" s="45"/>
      <c r="ALB20" s="45"/>
      <c r="ALC20" s="45"/>
      <c r="ALD20" s="45"/>
      <c r="ALE20" s="45"/>
      <c r="ALF20" s="45"/>
      <c r="ALG20" s="45"/>
      <c r="ALH20" s="45"/>
      <c r="ALI20" s="45"/>
      <c r="ALJ20" s="45"/>
      <c r="ALK20" s="45"/>
      <c r="ALL20" s="45"/>
      <c r="ALM20" s="45"/>
      <c r="ALN20" s="45"/>
      <c r="ALO20" s="45"/>
      <c r="ALP20" s="45"/>
      <c r="ALQ20" s="45"/>
      <c r="ALR20" s="45"/>
      <c r="ALS20" s="45"/>
      <c r="ALT20" s="45"/>
      <c r="ALU20" s="45"/>
      <c r="ALV20" s="45"/>
      <c r="ALW20" s="45"/>
      <c r="ALX20" s="45"/>
      <c r="ALY20" s="45"/>
      <c r="ALZ20" s="45"/>
      <c r="AMA20" s="45"/>
      <c r="AMB20" s="45"/>
      <c r="AMC20" s="45"/>
      <c r="AMD20" s="45"/>
      <c r="AME20" s="45"/>
      <c r="AMF20" s="45"/>
      <c r="AMG20" s="45"/>
      <c r="AMH20" s="45"/>
    </row>
  </sheetData>
  <mergeCells count="1">
    <mergeCell ref="A1:C1"/>
  </mergeCells>
  <pageMargins left="0" right="0" top="0.39370078740157483" bottom="0.39370078740157483" header="0" footer="0"/>
  <headerFooter>
    <oddHeader>&amp;C&amp;A</oddHeader>
    <oddFooter>&amp;CPagina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7"/>
  <dimension ref="A1:AMJ2"/>
  <sheetViews>
    <sheetView workbookViewId="0">
      <selection activeCell="A3" sqref="A3"/>
    </sheetView>
  </sheetViews>
  <sheetFormatPr defaultColWidth="9" defaultRowHeight="12.75" x14ac:dyDescent="0.2"/>
  <cols>
    <col min="1" max="1" width="29.125" style="9" customWidth="1"/>
    <col min="2" max="2" width="15.25" style="9" customWidth="1"/>
    <col min="3" max="1024" width="10.625" style="9" customWidth="1"/>
    <col min="1025" max="16384" width="9" style="11"/>
  </cols>
  <sheetData>
    <row r="1" spans="1:2" x14ac:dyDescent="0.2">
      <c r="A1" s="42" t="str">
        <f>CONCATENATE("Besluittypen bij zaaktype ",Zaaktype!B3,": ",Zaaktype!B4)</f>
        <v>Besluittypen bij zaaktype 19: Bibob-onderzoek uitvoeren</v>
      </c>
      <c r="B1" s="42"/>
    </row>
    <row r="2" spans="1:2" ht="25.5" x14ac:dyDescent="0.2">
      <c r="A2" s="3" t="s">
        <v>273</v>
      </c>
      <c r="B2" s="7" t="s">
        <v>66</v>
      </c>
    </row>
  </sheetData>
  <autoFilter ref="A2:B2" xr:uid="{CF963194-E93D-4250-9016-4C0F3C8EF66E}"/>
  <mergeCells count="1">
    <mergeCell ref="A1:B1"/>
  </mergeCells>
  <pageMargins left="0" right="0" top="0.39370078740157483" bottom="0.39370078740157483" header="0" footer="0"/>
  <headerFooter>
    <oddHeader>&amp;C&amp;A</oddHeader>
    <oddFooter>&amp;CPagina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8"/>
  <dimension ref="A1:AMK6"/>
  <sheetViews>
    <sheetView zoomScaleNormal="100" workbookViewId="0">
      <pane xSplit="2" ySplit="2" topLeftCell="C3" activePane="bottomRight" state="frozen"/>
      <selection pane="topRight" activeCell="C1" sqref="C1"/>
      <selection pane="bottomLeft" activeCell="A3" sqref="A3"/>
      <selection pane="bottomRight" activeCell="A2" sqref="A2"/>
    </sheetView>
  </sheetViews>
  <sheetFormatPr defaultColWidth="18.875" defaultRowHeight="12.75" x14ac:dyDescent="0.2"/>
  <cols>
    <col min="1" max="1" width="14" style="31" customWidth="1"/>
    <col min="2" max="2" width="9" style="31" bestFit="1" customWidth="1"/>
    <col min="3" max="3" width="13.75" style="31" customWidth="1"/>
    <col min="4" max="4" width="13.125" style="31" bestFit="1" customWidth="1"/>
    <col min="5" max="5" width="18.75" style="31" bestFit="1" customWidth="1"/>
    <col min="6" max="6" width="9.375" style="31" bestFit="1" customWidth="1"/>
    <col min="7" max="7" width="13.75" style="31" bestFit="1" customWidth="1"/>
    <col min="8" max="8" width="12.375" style="31" customWidth="1"/>
    <col min="9" max="9" width="9.5" style="31" bestFit="1" customWidth="1"/>
    <col min="10" max="10" width="14.875" style="31" bestFit="1" customWidth="1"/>
    <col min="11" max="11" width="16.75" style="31" customWidth="1"/>
    <col min="12" max="12" width="16.875" style="31" customWidth="1"/>
    <col min="13" max="13" width="16.875" style="31" bestFit="1" customWidth="1"/>
    <col min="14" max="14" width="12.5" style="31" bestFit="1" customWidth="1"/>
    <col min="15" max="15" width="13.125" style="31" bestFit="1" customWidth="1"/>
    <col min="16" max="16" width="13" style="31" bestFit="1" customWidth="1"/>
    <col min="17" max="17" width="33" style="31" bestFit="1" customWidth="1"/>
    <col min="18" max="18" width="18.875" style="31"/>
    <col min="19" max="20" width="13.625" style="31" customWidth="1"/>
    <col min="21" max="21" width="11.875" style="31" bestFit="1" customWidth="1"/>
    <col min="22" max="22" width="12.125" style="31" bestFit="1" customWidth="1"/>
    <col min="23" max="23" width="13" style="31" bestFit="1" customWidth="1"/>
    <col min="24" max="1025" width="18.875" style="31"/>
    <col min="1026" max="16384" width="18.875" style="39"/>
  </cols>
  <sheetData>
    <row r="1" spans="1:23" x14ac:dyDescent="0.2">
      <c r="A1" s="17" t="str">
        <f>CONCATENATE("Resultaattypen bij zaaktype ",Zaaktype!B3,": ",Zaaktype!B4)</f>
        <v>Resultaattypen bij zaaktype 19: Bibob-onderzoek uitvoeren</v>
      </c>
    </row>
    <row r="2" spans="1:23" s="38" customFormat="1" ht="63.75" x14ac:dyDescent="0.2">
      <c r="A2" s="7" t="s">
        <v>274</v>
      </c>
      <c r="B2" s="7" t="s">
        <v>275</v>
      </c>
      <c r="C2" s="7" t="s">
        <v>276</v>
      </c>
      <c r="D2" s="7" t="s">
        <v>277</v>
      </c>
      <c r="E2" s="7" t="s">
        <v>278</v>
      </c>
      <c r="F2" s="7" t="s">
        <v>279</v>
      </c>
      <c r="G2" s="7" t="s">
        <v>280</v>
      </c>
      <c r="H2" s="7" t="s">
        <v>281</v>
      </c>
      <c r="I2" s="7" t="s">
        <v>282</v>
      </c>
      <c r="J2" s="7" t="s">
        <v>283</v>
      </c>
      <c r="K2" s="7" t="s">
        <v>284</v>
      </c>
      <c r="L2" s="7" t="s">
        <v>285</v>
      </c>
      <c r="M2" s="7" t="s">
        <v>286</v>
      </c>
      <c r="N2" s="7" t="s">
        <v>287</v>
      </c>
      <c r="O2" s="7" t="s">
        <v>288</v>
      </c>
      <c r="P2" s="7" t="s">
        <v>289</v>
      </c>
      <c r="Q2" s="7" t="s">
        <v>11</v>
      </c>
      <c r="R2" s="7" t="s">
        <v>290</v>
      </c>
      <c r="S2" s="7" t="s">
        <v>291</v>
      </c>
      <c r="T2" s="7" t="s">
        <v>292</v>
      </c>
      <c r="U2" s="7" t="s">
        <v>293</v>
      </c>
      <c r="V2" s="7" t="s">
        <v>294</v>
      </c>
      <c r="W2" s="7" t="s">
        <v>295</v>
      </c>
    </row>
    <row r="3" spans="1:23" ht="27.75" customHeight="1" x14ac:dyDescent="0.2">
      <c r="A3" s="6" t="s">
        <v>296</v>
      </c>
      <c r="B3" s="31" t="s">
        <v>297</v>
      </c>
      <c r="C3" s="6" t="s">
        <v>296</v>
      </c>
      <c r="D3" s="6" t="s">
        <v>296</v>
      </c>
      <c r="F3" s="31" t="s">
        <v>149</v>
      </c>
      <c r="G3" s="31" t="s">
        <v>298</v>
      </c>
      <c r="H3" s="31" t="s">
        <v>299</v>
      </c>
      <c r="J3" s="31">
        <v>60</v>
      </c>
      <c r="K3" s="31" t="s">
        <v>300</v>
      </c>
    </row>
    <row r="4" spans="1:23" ht="25.5" x14ac:dyDescent="0.2">
      <c r="A4" s="6" t="s">
        <v>301</v>
      </c>
      <c r="B4" s="31" t="s">
        <v>297</v>
      </c>
      <c r="C4" s="31" t="s">
        <v>301</v>
      </c>
      <c r="D4" s="31" t="s">
        <v>301</v>
      </c>
      <c r="F4" s="31" t="s">
        <v>149</v>
      </c>
      <c r="G4" s="31" t="s">
        <v>302</v>
      </c>
      <c r="H4" s="31" t="s">
        <v>299</v>
      </c>
      <c r="J4" s="31">
        <v>12</v>
      </c>
      <c r="K4" s="31" t="s">
        <v>300</v>
      </c>
      <c r="Q4" s="6" t="s">
        <v>303</v>
      </c>
    </row>
    <row r="5" spans="1:23" x14ac:dyDescent="0.2">
      <c r="A5" s="31" t="s">
        <v>300</v>
      </c>
      <c r="B5" s="31" t="s">
        <v>304</v>
      </c>
      <c r="C5" s="31" t="s">
        <v>300</v>
      </c>
      <c r="D5" s="31" t="s">
        <v>300</v>
      </c>
      <c r="G5" s="31" t="s">
        <v>305</v>
      </c>
      <c r="H5" s="31" t="s">
        <v>306</v>
      </c>
      <c r="J5" s="31">
        <v>60</v>
      </c>
      <c r="K5" s="31" t="s">
        <v>300</v>
      </c>
    </row>
    <row r="6" spans="1:23" x14ac:dyDescent="0.2">
      <c r="A6" s="31" t="s">
        <v>301</v>
      </c>
      <c r="B6" s="31" t="s">
        <v>304</v>
      </c>
      <c r="C6" s="31" t="s">
        <v>301</v>
      </c>
      <c r="D6" s="31" t="s">
        <v>301</v>
      </c>
      <c r="G6" s="31" t="s">
        <v>305</v>
      </c>
      <c r="H6" s="31" t="s">
        <v>306</v>
      </c>
      <c r="J6" s="31">
        <v>12</v>
      </c>
      <c r="K6" s="31" t="s">
        <v>300</v>
      </c>
    </row>
  </sheetData>
  <pageMargins left="0" right="0" top="0.39370078740157483" bottom="0.39370078740157483" header="0" footer="0"/>
  <headerFooter>
    <oddHeader>&amp;C&amp;A</oddHeader>
    <oddFooter>&amp;CPagina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Blad9"/>
  <dimension ref="A1:B2"/>
  <sheetViews>
    <sheetView workbookViewId="0">
      <selection sqref="A1:B1"/>
    </sheetView>
  </sheetViews>
  <sheetFormatPr defaultColWidth="9" defaultRowHeight="12.75" x14ac:dyDescent="0.2"/>
  <cols>
    <col min="1" max="1" width="23.625" style="11" customWidth="1"/>
    <col min="2" max="2" width="41.25" style="11" bestFit="1" customWidth="1"/>
    <col min="3" max="3" width="10.5" style="11" customWidth="1"/>
    <col min="4" max="16384" width="9" style="11"/>
  </cols>
  <sheetData>
    <row r="1" spans="1:2" x14ac:dyDescent="0.2">
      <c r="A1" s="43" t="str">
        <f>CONCATENATE("Deelzaaktypen van zaaktype ",Zaaktype!B3,": ",Zaaktype!B4)</f>
        <v>Deelzaaktypen van zaaktype 19: Bibob-onderzoek uitvoeren</v>
      </c>
      <c r="B1" s="43"/>
    </row>
    <row r="2" spans="1:2" x14ac:dyDescent="0.2">
      <c r="A2" s="40" t="s">
        <v>307</v>
      </c>
    </row>
  </sheetData>
  <mergeCells count="1">
    <mergeCell ref="A1:B1"/>
  </mergeCells>
  <pageMargins left="0" right="0" top="0.39370078740157483" bottom="0.39370078740157483" header="0" footer="0"/>
  <headerFooter>
    <oddHeader>&amp;C&amp;A</oddHeader>
    <oddFooter>&amp;CPagina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10"/>
  <dimension ref="A1:AMJ4"/>
  <sheetViews>
    <sheetView workbookViewId="0">
      <pane xSplit="1" ySplit="2" topLeftCell="B3" activePane="bottomRight" state="frozen"/>
      <selection pane="topRight" activeCell="B1" sqref="B1"/>
      <selection pane="bottomLeft" activeCell="A3" sqref="A3"/>
      <selection pane="bottomRight" sqref="A1:C1"/>
    </sheetView>
  </sheetViews>
  <sheetFormatPr defaultColWidth="9" defaultRowHeight="12.75" x14ac:dyDescent="0.2"/>
  <cols>
    <col min="1" max="1" width="32.875" style="1" customWidth="1"/>
    <col min="2" max="2" width="10.75" style="1" bestFit="1" customWidth="1"/>
    <col min="3" max="3" width="57.75" style="1" customWidth="1"/>
    <col min="4" max="4" width="78.875" style="1" customWidth="1"/>
    <col min="5" max="1024" width="64" style="1" customWidth="1"/>
    <col min="1025" max="16384" width="9" style="2"/>
  </cols>
  <sheetData>
    <row r="1" spans="1:3" x14ac:dyDescent="0.2">
      <c r="A1" s="42" t="str">
        <f>CONCATENATE("Gerelateerde zaaktypen van zaaktype ",Zaaktype!B3,": ",Zaaktype!B4)</f>
        <v>Gerelateerde zaaktypen van zaaktype 19: Bibob-onderzoek uitvoeren</v>
      </c>
      <c r="B1" s="42"/>
      <c r="C1" s="42"/>
    </row>
    <row r="2" spans="1:3" x14ac:dyDescent="0.2">
      <c r="A2" s="3" t="s">
        <v>308</v>
      </c>
      <c r="B2" s="3" t="s">
        <v>309</v>
      </c>
      <c r="C2" s="3" t="s">
        <v>62</v>
      </c>
    </row>
    <row r="3" spans="1:3" ht="25.5" x14ac:dyDescent="0.2">
      <c r="A3" s="1" t="s">
        <v>310</v>
      </c>
      <c r="B3" s="1" t="s">
        <v>311</v>
      </c>
      <c r="C3" s="1" t="s">
        <v>312</v>
      </c>
    </row>
    <row r="4" spans="1:3" ht="25.5" x14ac:dyDescent="0.2">
      <c r="A4" s="1" t="s">
        <v>313</v>
      </c>
      <c r="B4" s="1" t="s">
        <v>311</v>
      </c>
      <c r="C4" s="1" t="s">
        <v>312</v>
      </c>
    </row>
  </sheetData>
  <mergeCells count="1">
    <mergeCell ref="A1:C1"/>
  </mergeCells>
  <pageMargins left="0" right="0" top="0.39370078740157483" bottom="0.39370078740157483" header="0" footer="0"/>
  <pageSetup paperSize="9" orientation="portrait" verticalDpi="0" r:id="rId1"/>
  <headerFooter>
    <oddHeader>&amp;C&amp;A</oddHeader>
    <oddFooter>&amp;CPagina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11">
    <pageSetUpPr fitToPage="1"/>
  </sheetPr>
  <dimension ref="B1"/>
  <sheetViews>
    <sheetView workbookViewId="0">
      <selection activeCell="C14" sqref="C14"/>
    </sheetView>
  </sheetViews>
  <sheetFormatPr defaultRowHeight="14.25" x14ac:dyDescent="0.2"/>
  <cols>
    <col min="1" max="1" width="20.625" bestFit="1" customWidth="1"/>
    <col min="2" max="2" width="25.25" style="4" customWidth="1"/>
    <col min="3" max="3" width="58.375" customWidth="1"/>
    <col min="4" max="4" width="39.75" customWidth="1"/>
  </cols>
  <sheetData/>
  <dataConsolidate/>
  <pageMargins left="0" right="0" top="0.39370078740157483" bottom="0.39370078740157483" header="0" footer="0"/>
  <pageSetup paperSize="9" scale="64" fitToHeight="0" orientation="landscape" verticalDpi="0" r:id="rId1"/>
  <headerFooter>
    <oddHeader>&amp;C&amp;A</oddHeader>
    <oddFooter>&amp;CPagina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D4554-5F9A-4443-A837-06D548B7FAA2}">
  <dimension ref="A1"/>
  <sheetViews>
    <sheetView workbookViewId="0"/>
  </sheetViews>
  <sheetFormatPr defaultRowHeight="14.25"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379d546-6df6-42fe-9fc4-ce0f23b99d99">
      <Terms xmlns="http://schemas.microsoft.com/office/infopath/2007/PartnerControls"/>
    </lcf76f155ced4ddcb4097134ff3c332f>
    <TaxCatchAll xmlns="bb9dad94-8ba3-42aa-94b4-e7db833c08c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0FADDF3D9201C458572280A8311A72B" ma:contentTypeVersion="14" ma:contentTypeDescription="Een nieuw document maken." ma:contentTypeScope="" ma:versionID="7ae6606d95fdae22679e0cd9d950eada">
  <xsd:schema xmlns:xsd="http://www.w3.org/2001/XMLSchema" xmlns:xs="http://www.w3.org/2001/XMLSchema" xmlns:p="http://schemas.microsoft.com/office/2006/metadata/properties" xmlns:ns2="a379d546-6df6-42fe-9fc4-ce0f23b99d99" xmlns:ns3="bb9dad94-8ba3-42aa-94b4-e7db833c08c7" targetNamespace="http://schemas.microsoft.com/office/2006/metadata/properties" ma:root="true" ma:fieldsID="a7e23c38bf02b4d9898eaddb92662d0f" ns2:_="" ns3:_="">
    <xsd:import namespace="a379d546-6df6-42fe-9fc4-ce0f23b99d99"/>
    <xsd:import namespace="bb9dad94-8ba3-42aa-94b4-e7db833c08c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79d546-6df6-42fe-9fc4-ce0f23b99d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a99bed0e-432a-4091-b929-67b863917b6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b9dad94-8ba3-42aa-94b4-e7db833c08c7" elementFormDefault="qualified">
    <xsd:import namespace="http://schemas.microsoft.com/office/2006/documentManagement/types"/>
    <xsd:import namespace="http://schemas.microsoft.com/office/infopath/2007/PartnerControls"/>
    <xsd:element name="SharedWithUsers" ma:index="11"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Gedeeld met details" ma:internalName="SharedWithDetails" ma:readOnly="true">
      <xsd:simpleType>
        <xsd:restriction base="dms:Note">
          <xsd:maxLength value="255"/>
        </xsd:restriction>
      </xsd:simpleType>
    </xsd:element>
    <xsd:element name="TaxCatchAll" ma:index="16" nillable="true" ma:displayName="Taxonomy Catch All Column" ma:hidden="true" ma:list="{59a06ac0-b166-4d46-9555-bf3088b60bc1}" ma:internalName="TaxCatchAll" ma:showField="CatchAllData" ma:web="bb9dad94-8ba3-42aa-94b4-e7db833c08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B56BA32-FBE1-4BFF-86FA-679E4C7ACC48}">
  <ds:schemaRefs>
    <ds:schemaRef ds:uri="http://schemas.microsoft.com/office/2006/metadata/properties"/>
    <ds:schemaRef ds:uri="http://schemas.microsoft.com/office/infopath/2007/PartnerControls"/>
    <ds:schemaRef ds:uri="a379d546-6df6-42fe-9fc4-ce0f23b99d99"/>
    <ds:schemaRef ds:uri="bb9dad94-8ba3-42aa-94b4-e7db833c08c7"/>
  </ds:schemaRefs>
</ds:datastoreItem>
</file>

<file path=customXml/itemProps2.xml><?xml version="1.0" encoding="utf-8"?>
<ds:datastoreItem xmlns:ds="http://schemas.openxmlformats.org/officeDocument/2006/customXml" ds:itemID="{6748BD32-3746-41D4-9B16-C5B8103CDCD7}">
  <ds:schemaRefs>
    <ds:schemaRef ds:uri="http://schemas.microsoft.com/sharepoint/v3/contenttype/forms"/>
  </ds:schemaRefs>
</ds:datastoreItem>
</file>

<file path=customXml/itemProps3.xml><?xml version="1.0" encoding="utf-8"?>
<ds:datastoreItem xmlns:ds="http://schemas.openxmlformats.org/officeDocument/2006/customXml" ds:itemID="{C26D1923-13A2-45FF-BE07-4198D21AC405}"/>
</file>

<file path=docMetadata/LabelInfo.xml><?xml version="1.0" encoding="utf-8"?>
<clbl:labelList xmlns:clbl="http://schemas.microsoft.com/office/2020/mipLabelMetadata">
  <clbl:label id="{0ce80e9c-661b-453a-b52e-c00e4f65cc34}" enabled="1" method="Standard" siteId="{bbc3bd55-2812-4652-96ae-ce7932a2e8b5}" contentBits="0" removed="0"/>
</clbl:labelList>
</file>

<file path=docProps/app.xml><?xml version="1.0" encoding="utf-8"?>
<Properties xmlns="http://schemas.openxmlformats.org/officeDocument/2006/extended-properties" xmlns:vt="http://schemas.openxmlformats.org/officeDocument/2006/docPropsVTypes">
  <Template>../../../../../AppData/Roaming/LibreOffice/4/user/template/ZAAKTYPEN-OW.ots</Template>
  <Application>Microsoft Excel</Application>
  <DocSecurity>0</DocSecurity>
  <ScaleCrop>false</ScaleCrop>
  <HeadingPairs>
    <vt:vector size="2" baseType="variant">
      <vt:variant>
        <vt:lpstr>Werkbladen</vt:lpstr>
      </vt:variant>
      <vt:variant>
        <vt:i4>13</vt:i4>
      </vt:variant>
    </vt:vector>
  </HeadingPairs>
  <TitlesOfParts>
    <vt:vector size="13" baseType="lpstr">
      <vt:lpstr>Zaaktype</vt:lpstr>
      <vt:lpstr>Statussen</vt:lpstr>
      <vt:lpstr>Checklists</vt:lpstr>
      <vt:lpstr>Rollen</vt:lpstr>
      <vt:lpstr>Objecten</vt:lpstr>
      <vt:lpstr>Eigenschappen</vt:lpstr>
      <vt:lpstr>Informatieobjecten</vt:lpstr>
      <vt:lpstr>Besluiten</vt:lpstr>
      <vt:lpstr>Resultaten</vt:lpstr>
      <vt:lpstr>Deelzaken</vt:lpstr>
      <vt:lpstr>Gerelateerde zaken</vt:lpstr>
      <vt:lpstr>Afbeelding</vt:lpstr>
      <vt:lpstr>Figuur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ZAAKTYPEN-OW</dc:title>
  <dc:subject/>
  <dc:creator>Paul Jansen</dc:creator>
  <cp:keywords/>
  <dc:description/>
  <cp:lastModifiedBy>Paul Jansen</cp:lastModifiedBy>
  <cp:revision>7</cp:revision>
  <dcterms:created xsi:type="dcterms:W3CDTF">2020-11-30T10:53:21Z</dcterms:created>
  <dcterms:modified xsi:type="dcterms:W3CDTF">2025-12-18T08:25:57Z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0x01010080FADDF3D9201C458572280A8311A72B</vt:lpwstr>
  </property>
  <property fmtid="{D5CDD505-2E9C-101B-9397-08002B2CF9AE}" pid="3" name="MediaServiceImageTags">
    <vt:lpwstr/>
  </property>
</Properties>
</file>