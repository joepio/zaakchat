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745" documentId="8_{C2EB6AF2-111C-4BDD-9E3B-A463901A87FF}" xr6:coauthVersionLast="47" xr6:coauthVersionMax="47" xr10:uidLastSave="{49500672-7907-443F-B562-F79DB07D6226}"/>
  <bookViews>
    <workbookView xWindow="-120" yWindow="-16320" windowWidth="29040" windowHeight="15720" tabRatio="819"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4" r:id="rId13"/>
  </sheets>
  <definedNames>
    <definedName name="_xlnm._FilterDatabase" localSheetId="4" hidden="1">Objecten!$A$2:$AMI$2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A1" i="7"/>
  <c r="A1" i="6" l="1"/>
  <c r="A1" i="5" l="1"/>
  <c r="A1" i="13" l="1"/>
  <c r="A1" i="9" l="1"/>
  <c r="A1" i="10"/>
  <c r="A1" i="8" l="1"/>
  <c r="A1" i="4" l="1"/>
  <c r="A1" i="2"/>
  <c r="A1" i="3"/>
</calcChain>
</file>

<file path=xl/sharedStrings.xml><?xml version="1.0" encoding="utf-8"?>
<sst xmlns="http://schemas.openxmlformats.org/spreadsheetml/2006/main" count="778" uniqueCount="390">
  <si>
    <t>Kenmerk</t>
  </si>
  <si>
    <t>Waarde</t>
  </si>
  <si>
    <t>IDENTIFICATIE</t>
  </si>
  <si>
    <t>OMSCHRIJVING</t>
  </si>
  <si>
    <t>Ambtshalve beschikken</t>
  </si>
  <si>
    <t>CATEGORIE</t>
  </si>
  <si>
    <t>Vergunningverlening</t>
  </si>
  <si>
    <t>DOEL</t>
  </si>
  <si>
    <t xml:space="preserve">Een bestaand besluit wordt op initatief van bevoegd gezag ingetrokken of geactualiseerd. Het nieuwe besluit komt tot stand middels dezelfde procedure waarmee het bestaande tot stand is gekomen. </t>
  </si>
  <si>
    <t>AANLEIDING</t>
  </si>
  <si>
    <t>De zaakbehandelende organisatie start zelf ambtshalve een traject voor het wijzigen of intrekken van een beschikking, waarop een reguliere procedure (Titel 4.1 Algemene wet bestuursrecht) van toepassing is.</t>
  </si>
  <si>
    <t>TOELICHTING</t>
  </si>
  <si>
    <t>Het zaaktype heeft gelijkenis met de zaaktypen voor het behandelen van een aanvraag, alleen ligt het initiatief hier bij het bevoegd gezag.
Een zaak van dit zaaktype wordt altijd afgesloten zodra de beschikking bekendgemaakt is. Indien bezwaar - al dan niet in combinatie met een verzoek om een voorlopige voorziening - tegen de beschikking wordt ingesteld, wordt dat bezwaar behandeld in een separate gerelateerde zaak van het zaaktype 'Bezwaar behandelen' en eventueel een zaak van het zaaktype 'Voorlopige voorziening behandelen'.</t>
  </si>
  <si>
    <t>INDICATIE INTERN OF EXTERN</t>
  </si>
  <si>
    <t>Intern</t>
  </si>
  <si>
    <t>HANDELING INITIATOR</t>
  </si>
  <si>
    <t>Ambtelijk voornemen tot intrekken, wijzigen</t>
  </si>
  <si>
    <t>ONDERWERP</t>
  </si>
  <si>
    <t>Vergunning reguliere procedure</t>
  </si>
  <si>
    <t>HANDELING BEHANDELAAR</t>
  </si>
  <si>
    <t>DOORLOOPTIJD BEHANDELING (KALENDERDAGEN) (2.1)</t>
  </si>
  <si>
    <t>- DOORLOOPTIJD - PERIODE-EENHEID (2.2)</t>
  </si>
  <si>
    <t>week</t>
  </si>
  <si>
    <t>- DOORLOOPTIJD - PERIODEDUUR (2.2)</t>
  </si>
  <si>
    <t>SERVICENORM BEHANDELING (KALENDERDAGEN) (2.1)</t>
  </si>
  <si>
    <t>OPSCHORTING / AANHOUDING MOGELIJK</t>
  </si>
  <si>
    <t>Ja</t>
  </si>
  <si>
    <t>VERLENGING MOGELIJK</t>
  </si>
  <si>
    <t>VERLENGINGSTERMIJN</t>
  </si>
  <si>
    <t>TREFWOORDEN</t>
  </si>
  <si>
    <t>Ambshalve beschikken</t>
  </si>
  <si>
    <t>VERTROUWELIJKHEIDAANDUIDING</t>
  </si>
  <si>
    <t>Openbaar</t>
  </si>
  <si>
    <t>VERANTWOORDELIJKE</t>
  </si>
  <si>
    <t>PUBLICATIE-INDICATIE</t>
  </si>
  <si>
    <t>PUBLICATIETEKST</t>
  </si>
  <si>
    <t xml:space="preserve">zie KOOP richtlijnen </t>
  </si>
  <si>
    <t>PRODUCT / DIENST:</t>
  </si>
  <si>
    <t>- NAAM</t>
  </si>
  <si>
    <t>omgevingsvergunning</t>
  </si>
  <si>
    <t>- LINK</t>
  </si>
  <si>
    <t>REFERENTIEPROCES:</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</si>
  <si>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</si>
  <si>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</si>
  <si>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</si>
  <si>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</si>
  <si>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</si>
  <si>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</si>
  <si>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</si>
  <si>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</si>
  <si>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</si>
  <si>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</si>
  <si>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</si>
  <si>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</si>
  <si>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</si>
  <si>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</si>
  <si>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</si>
  <si>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</si>
  <si>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</si>
  <si>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</si>
  <si>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</si>
  <si>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</si>
  <si>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</si>
  <si>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</si>
  <si>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</si>
  <si>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Zaak gestart</t>
  </si>
  <si>
    <t>kalenderdagen</t>
  </si>
  <si>
    <t>Nee</t>
  </si>
  <si>
    <t xml:space="preserve">De zaak is geregistreerd, maar er is nog geen sprake van een afgeronde registratie. Bepaald is via welk kanaal / welke kanalen met de vergunninghouder gecommuniceerd wordt / moet worden. </t>
  </si>
  <si>
    <t xml:space="preserve">Voornemen verstuurd </t>
  </si>
  <si>
    <t>Het voornemen is kenbaar gemaakt aan de vergunninghouder.</t>
  </si>
  <si>
    <t>Medeling voornemen</t>
  </si>
  <si>
    <t>Getoetst aan regelgeving</t>
  </si>
  <si>
    <t xml:space="preserve">Het voornemen is beoordeeld - zonodig in samenspraak met in- en externe adviseurs - op aanvaardbaarheid en volledigheid van de ontvangen informatie. 
Het voornemen is getoetst aan de relevante regelgeving. Waar nodig zijn in- en/of externe adviseurs gevraagd te adviseren over specifieke aspecten vanhet voornemen. </t>
  </si>
  <si>
    <t>Beschikking vastgesteld</t>
  </si>
  <si>
    <t>Het concept van de beschikking kan zijn getoetst door een collega en is goedgekeurd op basis van de geldende mandaatafspraken.</t>
  </si>
  <si>
    <t>Zaak afgerond</t>
  </si>
  <si>
    <t>De beschikking (of de reactie) is verzonden en gepubliceerd. De relevante registraties (BAG, BRK, Wkpb, Risicokaart, et cetera) zijn bijgewerkt. Indien nodig is een vervolgzaak geïnitieerd (voor bijvoorbeeld toezicht) en het zaakdossier is afgesloten en gearchiveerd.</t>
  </si>
  <si>
    <t>Statustype</t>
  </si>
  <si>
    <t>Itemnaam</t>
  </si>
  <si>
    <t>Vraagstelling</t>
  </si>
  <si>
    <t>Verplicht</t>
  </si>
  <si>
    <t>1 - Communicatie</t>
  </si>
  <si>
    <t>Is bepaald en vastgelegd op welke wijze communicatie met de verguninghouder plaatsvindt?</t>
  </si>
  <si>
    <t>Communicatie over een zaak verloopt in steeds meer gevallen niet meer - uitsluitend - via fysieke post, maar via meerdere - analoge en digitale - kanalen. Soms is het gebruik van bepaalde digitale kanalen zelfs verplicht. Indien de vergunninghouder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</si>
  <si>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Voornemen verstuurd</t>
  </si>
  <si>
    <t>1 - Procedure</t>
  </si>
  <si>
    <t>Is het oorspronkelijk besluit op basis van de reguliere procedure?</t>
  </si>
  <si>
    <t xml:space="preserve">De procedure die de ambtelijke beschikking volgt wordt bepaald door de procedure waarmee het in te trekken of te wijzigen besluit tot stand is gekomen. </t>
  </si>
  <si>
    <t>2 - Registratie</t>
  </si>
  <si>
    <t>Is de zaak volledig geregistreerd en is het voornemen verzonden?</t>
  </si>
  <si>
    <t xml:space="preserve">Het bevoegd gezag maakt zijn voornemen kenbaar aan de vergunninghouder. </t>
  </si>
  <si>
    <t>1 - Reactie ontvangen</t>
  </si>
  <si>
    <t>Heeft de vergunninghouder een reactie op het voornemen ingediend?</t>
  </si>
  <si>
    <t xml:space="preserve">Voor het opstellen van de beschikking kan de vergunninghouder een reactie geven. </t>
  </si>
  <si>
    <t>2 - Volledig</t>
  </si>
  <si>
    <t>Zijn aanvullende gegevens noodzakelijk voor behandeling van het voornemen?</t>
  </si>
  <si>
    <t>3 - Coördinatie</t>
  </si>
  <si>
    <t>Is de coördinatieregeling van nodig om te komen tot een samenhangend besluit?</t>
  </si>
  <si>
    <t>Beoordeeld wordt of op het te nemen besluit coördinatieregeling - Afdeling 3.5 van de Algemene wet bestuursrecht - van toepassing is (1).
Als uit de beoordeling blijkt dat een andere organisatie de behandeling van het voornemen moet overnemen, is dit gemeld aan die organisatie, is de aanvrager daarover geïnformeerd, wordt de status 4 pro forma uitgevoerd en is onderhavige zaak afgerond. Als de zaakbehandelende organisatie het coördinerend orgaan is, wordt advies / instemming gevraagd aan de andere bestuursorganen die over de aanvraag moeten beschikken.
1) Let op: als de coördinatieregeling van toepassing is, vindt behandeling doorgaans plaats in de uitgebreide procedure (afdeling 3.4 Algemene wet bestuursrecht).</t>
  </si>
  <si>
    <t>4 - Aanhouding</t>
  </si>
  <si>
    <t>Is er een grond de besluitvorming over het voornemen aan te houden?</t>
  </si>
  <si>
    <t>Beoordeeld wordt of er redenen zijn de besluitvorming over het voornemen aan te houden. Als de besluitvorming niet van rechtswege wordt aangehouden, wordt een aanhoudingsbeschikking genomen. Aanhouding van de besluitvorming wordt aan de vergunninghouder bekendgemaakt en gepubliceerd. Als besluitvorming wordt aangehouden, geldt de datum waarop de aanhouding eindigt als startdatum voor de beslistermijn.</t>
  </si>
  <si>
    <t>5 - Verlenging</t>
  </si>
  <si>
    <t>Is er aanleiding de beslistermijn te verlengen?</t>
  </si>
  <si>
    <t>Beoordeeld wordt of er aanleiding is de beslistermijn te verlengen met een redelijke termijn, zie art. 4:14 Algemene wet bestuursrecht. Voor beschikkingen die betrekking hebben op de fysieke leefomgeving, is eerdergenoemde redelijke termijn wettelijk beperkt tot maximaal 6 weken (zie art. 3.9, lid 2 Wet algemene bepalingen omgevingsrecht, resp. art. 16.64, lid 2 Omgevingswet).
Een beschikking tot verlenging van de beslistermijn dient binnen 8 weken na ontvangst van de aanvraag te worden genomen en wordt bekendgemaakt aan de vergunninghouder en gepubliceerd.</t>
  </si>
  <si>
    <t>6 - Adviezen gevraagd</t>
  </si>
  <si>
    <t>Zijn de voor de beoordeling relevante adviezen en/of instemmingen gevraagd?</t>
  </si>
  <si>
    <t>Voor het toetsen van het voornemen aan regelgeving en het zorgvuldig afwegen van belangen, kunnen adviezen en/of instemmingen (1) noodzakelijk zijn. 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het voornemeneen specialistische beoordeling vergen.
1) Let op: Indien de voorgenomen beslissing op de aanvraag instemming (als bedoeld in art. 16.16 Omgevingswet) behoeft, dient de beslissing binnen 12 weken (in plaats van 8 weken) (art. 16.64 Omgevingswet) te worden genomen.</t>
  </si>
  <si>
    <t>7 - Aanvulling / Aanpassing</t>
  </si>
  <si>
    <t>Is aanvulling en/of aanpassing van van het voornemen gewenst?</t>
  </si>
  <si>
    <t xml:space="preserve">Gedurende de inhoudelijke behandeling van de aanvraag kan blijken dat het voornemen moet worden afgewezen, tenzij de vergunninghouder op onderdelen aanvult of aanpast. De zaakbehandelende organisatie kan de vergunninghouder hiertoe in de gelegenheid stellen. </t>
  </si>
  <si>
    <t>8- Zienswijze belanghebbende</t>
  </si>
  <si>
    <t>Moet(en) de vergunninghouder en/of belanghebbende(n) om een zienswijze worden gevraagd over de voorgenomen beschikking?</t>
  </si>
  <si>
    <t>Beoordeeld wordt of de gegevens op grond waarvan de zaakbehandelende organisatie voornemens is de aanvraag geheel of gedeeltelijk af te wijzen, afwijken van de gegevens die de aanvrager zelf heeft verstrekt. Indien dat het geval is, wordt de aanvrager in de gelegenheid gesteld zijn zienswijze op de voorgenomen afwijzing naar voren te brengen (art. 4:7 Algemene wet bestuursrecht).
Indien verwacht wordt dat een belanghebbende - niet zijnde de aanvrager - bedenkingen zal hebben tegen een voorgenomen beschikking en voor het komen tot die beschikking zijn gegevens gebruikt die niet door de belanghebbende zijn verstrekt, wordt de belanghebbende in de gelegenheid gesteld zijn zienswijze naar voren te brengen (art. 4:8 Algemene wet bestuursrecht).</t>
  </si>
  <si>
    <t>1 - Concept getoetst</t>
  </si>
  <si>
    <t>Is de beschikking (collegiaal) getoetst?</t>
  </si>
  <si>
    <t>Afhankelijk van de aard van de aanvraag en de afspraken binnen de zaakbehandelende organisatie, kan de beschikking collegiaal moeten worden getoetst.</t>
  </si>
  <si>
    <t>2 - Beschikking vastgesteld</t>
  </si>
  <si>
    <t>Is de beschikking vastgesteld?</t>
  </si>
  <si>
    <t>Afhankelijk van de aard van de aanvraag en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</si>
  <si>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</si>
  <si>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beschikking door toezending bekendgemaakt aan direct belanghebbenden?</t>
  </si>
  <si>
    <t>Een beschikking treedt pas in werking zodra deze is bekendgemaakt (art. 3:40 Algemene wet bestuursrecht). De beschikking wordt daartoe toegezonden (of uitgereikt) aan:
- de belanghebbenden, waaronder de aanvrager, waartot de beschikking zich richt (art. 3:41, lid 1 Algemene wet bestuursrecht);
- degenen die bij de voorbereiding van de beschikking een zienswijze naar voren hebben gebracht (art. 3:43, lid 1 Algemene wet bestuursrecht). Indien de zienswijze is behandeld in een gerelateerde (bijdrage)zaak van het zaaktype 'Zienswijze behandelen' wordt de beschikking (inclusief reactie op de naar voren gebrachte zienswijze) via genoemde (bijdrage)zaak aan de indiener van de zienswijze toegezonden; 
- adviseurs die betrokken waren bij de voorbereiding van de beschikking (in afwijking van art. 3:43, lid 1 Algemene wet bestuursrecht wordt niet slechts van de beschikking mededeling gedaan indien van het advies wordt afgeweken - de beschikking wordt te allen tijde aan elke adviseur toegezonden).</t>
  </si>
  <si>
    <t>2 - Kennisgeving</t>
  </si>
  <si>
    <t>Is de kennisgeving van (terinzagelegging van) de beschikking gepubliceerd?</t>
  </si>
  <si>
    <t>Bekendmaking van de beschikking vindt plaats door kennisgeving daarvan (zie art. 3:42 Algemene wet bestuursrecht). Indien alleen van de zakelijke inhoud van de beschikking wordt kennisgegeven, wordt de beschikking gelijktijdig ter inzage gelegd en wordt in de kennisgeving vermeld waar en wanneer de beschikking ter inzage ligt (art. 3:42, lid 3 Algemene wet bestuursrecht).</t>
  </si>
  <si>
    <t>3 - Terinzagelegging</t>
  </si>
  <si>
    <t>Is de beschikking ter inzage gelegd?</t>
  </si>
  <si>
    <t>Indien alleen van de zakelijke inhoud van de beschikking is kennisgegeven, wordt de beschikking ter inzage gelegd zoals is omschreven in de kennisgeving. Steeds vaker wordt ervoor gekozen deze terinzagelegging zowel fysiek (op één of meer in de kennisgeving genoemde locaties) als digitaal (publicatie via een website) te laten plaatsvinden.</t>
  </si>
  <si>
    <t>4 -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</si>
  <si>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</si>
  <si>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</si>
  <si>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5 - Registraties</t>
  </si>
  <si>
    <t>Zijn de voor de beschikking relevante registraties bijgewerkt?</t>
  </si>
  <si>
    <t>Een beschikking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verbuiken van gebruiksruimte, bijvoorbeeld t.a.v. geluid) of het nemen van een handhavingsbesluit t.a.v. een overtreding (kan leiden tot registratie van een beperking in de landelijke voorziening voor de WKPB).
Dit zijn slechts enkele voorbeelden; alle relevante (basis)registraties dienen te worden bijgewerkt op basis van de beschikking.</t>
  </si>
  <si>
    <t>6 - Vervolgzaak</t>
  </si>
  <si>
    <t>Zijn de voor deze zaak relevante vervolgzaken gepland?</t>
  </si>
  <si>
    <t>Een zaak waarin wordt beschikt over een voornemen, vereist veelal een vervolg: het toezien op naleving van de beschikking (een zaak van het zaaktype 'Controle uitvoeren').
Ook procedurewijzigingen (behandeling van de aanvraag in een uitgebreide procedure, behandeling van de aanvraag als melding) kunnen aanleiding zijn voor het starten van een zaak van een ander zaaktype.</t>
  </si>
  <si>
    <t>Omschrijving generiek</t>
  </si>
  <si>
    <t>Soort betrokkene</t>
  </si>
  <si>
    <t>Mag zetten Statustype</t>
  </si>
  <si>
    <t>Bevoegdgezag</t>
  </si>
  <si>
    <t>Initiator</t>
  </si>
  <si>
    <t>Vergunninghouder</t>
  </si>
  <si>
    <t>Belanghebbende</t>
  </si>
  <si>
    <t>Natuurlijk persoon, Niet-natuurlijk persoon, Vestiging</t>
  </si>
  <si>
    <t>Administratief medewerker</t>
  </si>
  <si>
    <t>Behandelaar</t>
  </si>
  <si>
    <t>1 - Zaak gestart
5 - Zaak afgerond</t>
  </si>
  <si>
    <t>Adviseur</t>
  </si>
  <si>
    <t>Andere organisatie</t>
  </si>
  <si>
    <t>Niet-natuurlijk persoon</t>
  </si>
  <si>
    <t>Derde belanghebbende</t>
  </si>
  <si>
    <t>Natuurlijk persoon, niet-natuurlijk persoon</t>
  </si>
  <si>
    <t>Zaakbehandelaar</t>
  </si>
  <si>
    <t>2 - Voornemen verstuurd
3 - Getoetst aan regelgeving</t>
  </si>
  <si>
    <t>Zaakverantwoordelijke</t>
  </si>
  <si>
    <t>Beslisser</t>
  </si>
  <si>
    <t>4 - Beschikking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</si>
  <si>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</si>
  <si>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</si>
  <si>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</si>
  <si>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</si>
  <si>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</si>
  <si>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</si>
  <si>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</si>
  <si>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</si>
  <si>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</si>
  <si>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</si>
  <si>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</si>
  <si>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</si>
  <si>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</si>
  <si>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</si>
  <si>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</si>
  <si>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</si>
  <si>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</si>
  <si>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</si>
  <si>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</si>
  <si>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</si>
  <si>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</si>
  <si>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</si>
  <si>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</si>
  <si>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</si>
  <si>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</si>
  <si>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</si>
  <si>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</si>
  <si>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</si>
  <si>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</si>
  <si>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</si>
  <si>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</si>
  <si>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</si>
  <si>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</si>
  <si>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</si>
  <si>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</si>
  <si>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</si>
  <si>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</si>
  <si>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</si>
  <si>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</si>
  <si>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</si>
  <si>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</si>
  <si>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</si>
  <si>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</si>
  <si>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</si>
  <si>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</si>
  <si>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</si>
  <si>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</si>
  <si>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</si>
  <si>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</si>
  <si>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</si>
  <si>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</si>
  <si>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</si>
  <si>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</si>
  <si>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</si>
  <si>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</si>
  <si>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</si>
  <si>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</si>
  <si>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</si>
  <si>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</si>
  <si>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</si>
  <si>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</si>
  <si>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</si>
  <si>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</si>
  <si>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</si>
  <si>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</si>
  <si>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</si>
  <si>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</si>
  <si>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</si>
  <si>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</si>
  <si>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</si>
  <si>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</si>
  <si>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</si>
  <si>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</si>
  <si>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</si>
  <si>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</si>
  <si>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</si>
  <si>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</si>
  <si>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</si>
  <si>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</si>
  <si>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</si>
  <si>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</si>
  <si>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</si>
  <si>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</si>
  <si>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</si>
  <si>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</si>
  <si>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</si>
  <si>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</si>
  <si>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</si>
  <si>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</si>
  <si>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</si>
  <si>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</si>
  <si>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</si>
  <si>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</si>
  <si>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</si>
  <si>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</si>
  <si>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</si>
  <si>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</si>
  <si>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</si>
  <si>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</si>
  <si>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</si>
  <si>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</si>
  <si>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</si>
  <si>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</si>
  <si>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</si>
  <si>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</si>
  <si>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Uitgaand</t>
  </si>
  <si>
    <t>Voornemen ambtshalve beschikken</t>
  </si>
  <si>
    <t>Inkomend</t>
  </si>
  <si>
    <t>Reactie op voornemen</t>
  </si>
  <si>
    <t>Procedurebevestiging</t>
  </si>
  <si>
    <t>Adviesaanvraag</t>
  </si>
  <si>
    <t>Advies</t>
  </si>
  <si>
    <t>Verzoek om aanvullende informatie</t>
  </si>
  <si>
    <t>Aanvullende informatie</t>
  </si>
  <si>
    <t>Beschikking buiten behandeling laten</t>
  </si>
  <si>
    <t>Beschikking verlenging beslistermijn</t>
  </si>
  <si>
    <t>Beschikking aanhouding beslissing</t>
  </si>
  <si>
    <t>Mededeling van aanhouding</t>
  </si>
  <si>
    <t>Instemming met opschorting</t>
  </si>
  <si>
    <t>Uitnodiging tot geven zienswijze</t>
  </si>
  <si>
    <t>Begeleidende brief bij besluit</t>
  </si>
  <si>
    <t xml:space="preserve">Beschikking ambtshalve </t>
  </si>
  <si>
    <t>Mededeling besluit</t>
  </si>
  <si>
    <t>Legesbeschikking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</si>
  <si>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</si>
  <si>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</si>
  <si>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</si>
  <si>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</si>
  <si>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</si>
  <si>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</si>
  <si>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</si>
  <si>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</si>
  <si>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</si>
  <si>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</si>
  <si>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</si>
  <si>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</si>
  <si>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</si>
  <si>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</si>
  <si>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</si>
  <si>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</si>
  <si>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</si>
  <si>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</si>
  <si>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</si>
  <si>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</si>
  <si>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</si>
  <si>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</si>
  <si>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</si>
  <si>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</si>
  <si>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DATUM BEGIN GELDGHEID</t>
  </si>
  <si>
    <t>Afgebroken</t>
  </si>
  <si>
    <t>gem</t>
  </si>
  <si>
    <t>11.4</t>
  </si>
  <si>
    <t>Vernietigen</t>
  </si>
  <si>
    <t>Afgehandeld</t>
  </si>
  <si>
    <t xml:space="preserve">De procedure is afgebroken.  Deze is foutief ingeboekt of de ambtshalve procedure is niet doorgezet </t>
  </si>
  <si>
    <t>Geactualiseerd</t>
  </si>
  <si>
    <t>Verleend</t>
  </si>
  <si>
    <t>11.1</t>
  </si>
  <si>
    <t>Vervaldatum besluit</t>
  </si>
  <si>
    <t>Geactual. - omg.act</t>
  </si>
  <si>
    <t>activiteit milieu, bouw, sloop, monument, strijdig gebruik en/of aanleg etc.</t>
  </si>
  <si>
    <t>11.1.6</t>
  </si>
  <si>
    <t>Blijvend bewaren</t>
  </si>
  <si>
    <t>Beschikking voor activiteit milieu, bouw, sloop, monument, strijdig gebruik en/of aanleg etc.</t>
  </si>
  <si>
    <t>Geactual. - BAG</t>
  </si>
  <si>
    <t>omg.verg. met brondoc. BAG</t>
  </si>
  <si>
    <t>11.1.5</t>
  </si>
  <si>
    <t>Beschikking met brondocumenten BAG</t>
  </si>
  <si>
    <t>Geactual. - kappen</t>
  </si>
  <si>
    <t>kappen met herplantplicht</t>
  </si>
  <si>
    <t>11.1.12</t>
  </si>
  <si>
    <t>Beschikking betreft kappen met herplantplicht</t>
  </si>
  <si>
    <t>Ingetrokken - BAG</t>
  </si>
  <si>
    <t>Ingetrokken</t>
  </si>
  <si>
    <t>beschikking met brondoc. BAG</t>
  </si>
  <si>
    <t>11.3.1</t>
  </si>
  <si>
    <t xml:space="preserve">Beschikking (gedeeltelijke) intrekking eerder verleende toestemming met brondocumenten BAG.
</t>
  </si>
  <si>
    <t>11.3</t>
  </si>
  <si>
    <t>Beschikking (gedeeltelijke) intrekking eerder verleende toestemming.</t>
  </si>
  <si>
    <t>Ingetrokken - Milieu</t>
  </si>
  <si>
    <t>activiteit milieu</t>
  </si>
  <si>
    <t>11.3.2</t>
  </si>
  <si>
    <t xml:space="preserve">Beschikking (gedeeltelijke) intrekking eerder verleende toestemming  activiteit milieu
</t>
  </si>
  <si>
    <t>Beschikking op aanvraag  </t>
  </si>
  <si>
    <t>Niet doorgevoerd</t>
  </si>
  <si>
    <t>Geweigerd</t>
  </si>
  <si>
    <t>11.2</t>
  </si>
  <si>
    <t>Geactualiseerd besluit (P)</t>
  </si>
  <si>
    <t>prov</t>
  </si>
  <si>
    <t>Ingangsdatum besluit</t>
  </si>
  <si>
    <t>Geactualiseerd besluit(P)</t>
  </si>
  <si>
    <t>Ingetrokken (P)</t>
  </si>
  <si>
    <t>Niet doorgevoerd (P)</t>
  </si>
  <si>
    <t xml:space="preserve">Afgebroken </t>
  </si>
  <si>
    <t xml:space="preserve">De procedure is afgebroken. Deze is foutief ingeboekt of de ambtshalve procedure is niet doorgezet </t>
  </si>
  <si>
    <t>Aanvaarde lozing zonder consequenties voor milieu</t>
  </si>
  <si>
    <t>ws</t>
  </si>
  <si>
    <t>2.4.2</t>
  </si>
  <si>
    <t>Na vervallen belang</t>
  </si>
  <si>
    <t>2.4.1</t>
  </si>
  <si>
    <t>Niet ontvankelijk</t>
  </si>
  <si>
    <t>Niet vergunningplichtige activiteit</t>
  </si>
  <si>
    <t>Doorgestuurd naar bevoegd gezag</t>
  </si>
  <si>
    <t>Ingetrokken (aanvraag)</t>
  </si>
  <si>
    <t>Buiten behandeling gelaten</t>
  </si>
  <si>
    <t>2.4.1.</t>
  </si>
  <si>
    <t>0.0</t>
  </si>
  <si>
    <t>DEELZAAKTYPE</t>
  </si>
  <si>
    <t>GERELATEERD ZAAKTYPE</t>
  </si>
  <si>
    <t>AARD RELATIE</t>
  </si>
  <si>
    <t>4 - Controle uitvoeren</t>
  </si>
  <si>
    <t>Onderwerp</t>
  </si>
  <si>
    <t>De zaak van het zaaktype 'Controle uitvoeren' waarin is geconstateerd dat aanvrager in strijd met vigerende regelgeving handelt. Aanvrager heeft, daartoe in de gelegenheid gesteld door het bevoegd gezag, ten behoeve van legalisatie een aanvraag ingediend die in onderhavige zaak van het zaaktype 'Aanvraag beschikking regulier behandelen' wordt behandeld.</t>
  </si>
  <si>
    <t>1 - Advies verstrekken</t>
  </si>
  <si>
    <t>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t>
  </si>
  <si>
    <t>12 - Zienswijze behandelen</t>
  </si>
  <si>
    <t>Naar aanleiding van het voornemen de beslistermijn te verlengen (art. 3:18, lid 2 Algemene wet bestuursrecht), een voorgenomen geheel of gedeeltelijke afwijzing van de aanvraag (art. 4:7 lid 1 Algemene wet bestuursrecht, juncto art. 4:11 lid 1 Algemene wet bestuursrecht en art. 4:12, lid 1 Algemene wet bestuursrecht), verwachte bedenkingen van een belanghebbende (art. 4:8, lid 1 Algemene wet bestuursrecht, juncto art. 4:11 lid 1 Algemene wet bestuursrecht en art. 4:12, lid 1 Algemene wet bestuursrecht) kunnen door belanghebbenden en/of aanvrager zienswijzen naar voren worden gebracht. Behandeling van een zienswijze kan plaatsvinden in een zaak van het zaaktype 'Zienswijze behandelen' bij binnenkomst van de zienswijze.</t>
  </si>
  <si>
    <t>5 - Handhavingsbesluit nemen</t>
  </si>
  <si>
    <t>De zaak van het zaaktype 'Handhavingsbesluit nemen' waarin het bevoegd gezag heeft besloten een sanctie op te leggen, omdat aanvrager handelt in strijd met regelgeving (bijvoorbeeld de uitvoering van een activiteit zonder te beschikken over de daarvoor vereiste vergunning). Naar aanleiding van dit besluit heeft aanvrager een aanvraag ingediend, die wordt behandeld in onderhavige zaak van het zaaktype 'Aanvraag beschikking regulier behandelen'.</t>
  </si>
  <si>
    <t>De zaak van het zaaktype 'Handhavingsbesluit nemen' waarin het bevoegd gezag heeft besloten dat een eerdere beschikking wordt gewijzigd of ingetrokken, omdat is geconsteerd dat de onder toezicht staande in strijd met vigerende regelgeving handelt of heeft gehandeld. Deze ambtshalve wijziging of intrekking wordt in onderhavige zaak van het zaaktype 'Aanvraag beschikking regulier behandelen' behandeld.</t>
  </si>
  <si>
    <t>10 - Aanvraag beschikking regulier behandelen</t>
  </si>
  <si>
    <t>De zaak van het zaaktype 'Aanvraag beschikking regulier behandelen' waarin, ten behoeve van hetzelfde project, voor één of enkele activiteiten eerder een beschikking is gevraagd (gefaseerde behandeling aanvraag omgevingsvergunning, art. 2.5 Wet algemene bepalingen omgevingsrecht).</t>
  </si>
  <si>
    <t>11 - Aanvraag beschikking uitgebreid behandelen</t>
  </si>
  <si>
    <t>De zaak van het zaaktype 'Aanvraag beschikking uitgebreid behandelen' waarin de behandeling van onderhavige aanvraag initieel plaatsvond. Voornoemde zaak is voortijdig afgehandeld, omdat tijdens de behandeling is gebleken dat de aanvraag in een reguliere procedure behandeld dient te worden. Daartoe is onderhavige zaak van het zaaktype 'Aanvraag beschikking regulier behandelen' gestart.</t>
  </si>
  <si>
    <t>Vervolg</t>
  </si>
  <si>
    <t>Indien blijkt dat de aanvraag die in onderhavige zaak van het zaaktype 'Aanvraag beschikking regulier behandelen' wordt behandeld, in de uitgebreide procedure behandeld dient te worden, wordt onderhavige zaak voortijdig afgehandeld en wordt een zaak gestart van het zaaktype 'Aanvraag beschikking uitgebreid behandelen'.</t>
  </si>
  <si>
    <t>In veel gevallen wordt na het nemen van een beschikking een zaak van het zaaktype 'Controle uitvoeren' gepland, teneinde erop toe te zien dat de beschikking wordt nageleefd.</t>
  </si>
  <si>
    <t>16 - Bezwaar behandelen</t>
  </si>
  <si>
    <t>Zaaktype behandeld een ontvangen bezwaarschrift tegen een door het in deze zaak genomen besluit (niet zijnde een besluit met betrekking tot personeelszaken, belastingen en schadevorde­rin­gen).</t>
  </si>
  <si>
    <t>20 - Bezwaar behandelen zonder bezwaarcommissie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</si>
</sst>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b/>
      <sz val="10"/>
      <color theme="1"/>
      <name val="Arial"/>
      <family val="2"/>
    </font>
    <font>
      <sz val="10"/>
      <name val="Arial"/>
      <family val="2"/>
    </font>
    <font>
      <b/>
      <sz val="10"/>
      <name val="Arial"/>
      <family val="2"/>
    </font>
    <font>
      <sz val="10"/>
      <color theme="1"/>
      <name val="Arial"/>
      <family val="2"/>
    </font>
    <font>
      <sz val="10"/>
      <color rgb="FF000000"/>
      <name val="Arial"/>
      <family val="2"/>
    </font>
    <font>
      <strike/>
      <sz val="10"/>
      <color rgb="FFFF000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tint="-0.14999847407452621"/>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style="thin">
        <color indexed="64"/>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8">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quotePrefix="1" applyFont="1" applyAlignment="1">
      <alignment horizontal="left" vertical="top" wrapText="1"/>
    </xf>
    <xf numFmtId="0" fontId="17" fillId="0" borderId="0" xfId="0" quotePrefix="1" applyFont="1" applyAlignment="1">
      <alignment horizontal="left" vertical="top" wrapText="1"/>
    </xf>
    <xf numFmtId="14" fontId="16" fillId="0" borderId="0" xfId="0" applyNumberFormat="1"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vertical="top" wrapText="1"/>
    </xf>
    <xf numFmtId="0" fontId="19" fillId="0" borderId="0" xfId="0" applyFont="1" applyAlignment="1">
      <alignment horizontal="left" vertical="top" wrapText="1"/>
    </xf>
    <xf numFmtId="0" fontId="17" fillId="0" borderId="0" xfId="0" applyFont="1" applyAlignment="1">
      <alignment horizontal="left" vertical="top"/>
    </xf>
    <xf numFmtId="0" fontId="17" fillId="9" borderId="0" xfId="0" applyFont="1" applyFill="1" applyAlignment="1">
      <alignment horizontal="left" vertical="top"/>
    </xf>
    <xf numFmtId="0" fontId="16" fillId="0" borderId="0" xfId="0" applyFont="1" applyAlignment="1">
      <alignment horizontal="left" vertical="top"/>
    </xf>
    <xf numFmtId="0" fontId="17" fillId="0" borderId="0" xfId="0" applyFont="1" applyAlignment="1">
      <alignment vertical="top"/>
    </xf>
    <xf numFmtId="0" fontId="15" fillId="0" borderId="0" xfId="0" applyFont="1" applyAlignment="1">
      <alignment vertical="top"/>
    </xf>
    <xf numFmtId="0" fontId="15" fillId="0" borderId="0" xfId="0" applyFont="1" applyAlignment="1">
      <alignment vertical="top" wrapText="1"/>
    </xf>
    <xf numFmtId="0" fontId="15" fillId="0" borderId="0" xfId="0" applyFont="1" applyAlignment="1">
      <alignment horizontal="left" vertical="top"/>
    </xf>
    <xf numFmtId="0" fontId="18" fillId="0" borderId="0" xfId="0" applyFont="1" applyAlignment="1">
      <alignment horizontal="left" vertical="top"/>
    </xf>
    <xf numFmtId="0" fontId="17" fillId="0" borderId="0" xfId="0" applyFont="1" applyAlignment="1">
      <alignment vertical="top" wrapText="1"/>
    </xf>
    <xf numFmtId="14" fontId="18" fillId="0" borderId="0" xfId="0" applyNumberFormat="1" applyFont="1"/>
    <xf numFmtId="14" fontId="18" fillId="0" borderId="0" xfId="0" applyNumberFormat="1" applyFont="1" applyAlignment="1">
      <alignment horizontal="left" vertical="top"/>
    </xf>
    <xf numFmtId="0" fontId="16" fillId="0" borderId="0" xfId="0" applyFont="1" applyAlignment="1">
      <alignment vertical="top"/>
    </xf>
    <xf numFmtId="0" fontId="17" fillId="0" borderId="2" xfId="0" applyFont="1" applyBorder="1" applyAlignment="1">
      <alignment vertical="top"/>
    </xf>
    <xf numFmtId="0" fontId="17" fillId="0" borderId="2" xfId="0" applyFont="1" applyBorder="1" applyAlignment="1">
      <alignment vertical="top" wrapText="1"/>
    </xf>
    <xf numFmtId="0" fontId="18" fillId="0" borderId="0" xfId="0" applyFont="1"/>
    <xf numFmtId="0" fontId="18" fillId="0" borderId="0" xfId="0" applyFont="1" applyAlignment="1">
      <alignment vertical="top"/>
    </xf>
    <xf numFmtId="0" fontId="18" fillId="0" borderId="0" xfId="0" applyFont="1" applyAlignment="1">
      <alignment vertical="top" wrapText="1"/>
    </xf>
    <xf numFmtId="0" fontId="17" fillId="0" borderId="3" xfId="0" applyFont="1" applyBorder="1" applyAlignment="1">
      <alignment vertical="top" wrapText="1"/>
    </xf>
    <xf numFmtId="0" fontId="16" fillId="0" borderId="3" xfId="0" applyFont="1" applyBorder="1" applyAlignment="1">
      <alignment vertical="top" wrapText="1"/>
    </xf>
    <xf numFmtId="0" fontId="16" fillId="0" borderId="2" xfId="0" applyFont="1" applyBorder="1" applyAlignment="1">
      <alignment vertical="top" wrapText="1"/>
    </xf>
    <xf numFmtId="0" fontId="20" fillId="0" borderId="0" xfId="0" applyFont="1" applyAlignment="1">
      <alignment horizontal="left" vertical="top" wrapText="1"/>
    </xf>
    <xf numFmtId="0" fontId="20" fillId="0" borderId="0" xfId="0" applyFont="1" applyAlignment="1">
      <alignment vertical="top" wrapText="1"/>
    </xf>
    <xf numFmtId="0" fontId="19" fillId="0" borderId="0" xfId="0" applyFont="1" applyAlignment="1">
      <alignment vertical="top" wrapText="1"/>
    </xf>
    <xf numFmtId="0" fontId="16" fillId="0" borderId="0" xfId="0" applyFont="1" applyFill="1" applyAlignment="1">
      <alignment horizontal="left" wrapText="1"/>
    </xf>
    <xf numFmtId="0" fontId="16" fillId="0" borderId="0" xfId="0" applyFont="1" applyFill="1" applyAlignment="1">
      <alignment wrapText="1"/>
    </xf>
    <xf numFmtId="0" fontId="16" fillId="0" borderId="0" xfId="0" applyFont="1" applyFill="1"/>
    <xf numFmtId="0" fontId="16" fillId="0" borderId="0" xfId="0" applyFont="1" applyFill="1" applyAlignment="1">
      <alignment horizontal="left" vertical="top" wrapText="1"/>
    </xf>
    <xf numFmtId="0" fontId="16" fillId="0" borderId="0" xfId="0" applyFont="1" applyFill="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H45"/>
  <sheetViews>
    <sheetView tabSelected="1" zoomScaleNormal="100" workbookViewId="0">
      <pane xSplit="1" ySplit="2" topLeftCell="B3" activePane="bottomRight" state="frozen"/>
      <selection pane="topRight" activeCell="A39" sqref="A39:B47"/>
      <selection pane="bottomLeft" activeCell="A39" sqref="A39:B47"/>
      <selection pane="bottomRight" activeCell="B4" sqref="B4"/>
    </sheetView>
  </sheetViews>
  <sheetFormatPr defaultColWidth="8.75" defaultRowHeight="12.75" x14ac:dyDescent="0.2"/>
  <cols>
    <col min="1" max="1" width="50.125" style="2" customWidth="1"/>
    <col min="2" max="2" width="79.375" style="2" customWidth="1"/>
    <col min="3" max="1022" width="78.25" style="2" customWidth="1"/>
    <col min="1023" max="16384" width="8.75" style="8"/>
  </cols>
  <sheetData>
    <row r="1" spans="1:2" s="13" customFormat="1" x14ac:dyDescent="0.2">
      <c r="A1" s="10" t="str">
        <f>CONCATENATE("Zaaktype ",B3,": ",B4)</f>
        <v>Zaaktype 17: Ambtshalve beschikken</v>
      </c>
      <c r="B1" s="11"/>
    </row>
    <row r="2" spans="1:2" x14ac:dyDescent="0.2">
      <c r="A2" s="3" t="s">
        <v>0</v>
      </c>
      <c r="B2" s="3" t="s">
        <v>1</v>
      </c>
    </row>
    <row r="3" spans="1:2" x14ac:dyDescent="0.2">
      <c r="A3" s="3" t="s">
        <v>2</v>
      </c>
      <c r="B3" s="3">
        <v>17</v>
      </c>
    </row>
    <row r="4" spans="1:2" x14ac:dyDescent="0.2">
      <c r="A4" s="3" t="s">
        <v>3</v>
      </c>
      <c r="B4" s="3" t="s">
        <v>4</v>
      </c>
    </row>
    <row r="5" spans="1:2" x14ac:dyDescent="0.2">
      <c r="A5" s="3" t="s">
        <v>5</v>
      </c>
      <c r="B5" s="2" t="s">
        <v>6</v>
      </c>
    </row>
    <row r="6" spans="1:2" ht="28.5" customHeight="1" x14ac:dyDescent="0.2">
      <c r="A6" s="3" t="s">
        <v>7</v>
      </c>
      <c r="B6" s="2" t="s">
        <v>8</v>
      </c>
    </row>
    <row r="7" spans="1:2" ht="40.5" customHeight="1" x14ac:dyDescent="0.2">
      <c r="A7" s="3" t="s">
        <v>9</v>
      </c>
      <c r="B7" s="2" t="s">
        <v>10</v>
      </c>
    </row>
    <row r="8" spans="1:2" ht="75" customHeight="1" x14ac:dyDescent="0.2">
      <c r="A8" s="3" t="s">
        <v>11</v>
      </c>
      <c r="B8" s="2" t="s">
        <v>12</v>
      </c>
    </row>
    <row r="9" spans="1:2" x14ac:dyDescent="0.2">
      <c r="A9" s="3" t="s">
        <v>13</v>
      </c>
      <c r="B9" s="9" t="s">
        <v>14</v>
      </c>
    </row>
    <row r="10" spans="1:2" x14ac:dyDescent="0.2">
      <c r="A10" s="3" t="s">
        <v>15</v>
      </c>
      <c r="B10" s="2" t="s">
        <v>16</v>
      </c>
    </row>
    <row r="11" spans="1:2" x14ac:dyDescent="0.2">
      <c r="A11" s="3" t="s">
        <v>17</v>
      </c>
      <c r="B11" s="2" t="s">
        <v>18</v>
      </c>
    </row>
    <row r="12" spans="1:2" x14ac:dyDescent="0.2">
      <c r="A12" s="3" t="s">
        <v>19</v>
      </c>
    </row>
    <row r="13" spans="1:2" x14ac:dyDescent="0.2">
      <c r="A13" s="3" t="s">
        <v>20</v>
      </c>
      <c r="B13" s="2">
        <v>56</v>
      </c>
    </row>
    <row r="14" spans="1:2" x14ac:dyDescent="0.2">
      <c r="A14" s="4" t="s">
        <v>21</v>
      </c>
      <c r="B14" s="2" t="s">
        <v>22</v>
      </c>
    </row>
    <row r="15" spans="1:2" x14ac:dyDescent="0.2">
      <c r="A15" s="4" t="s">
        <v>23</v>
      </c>
      <c r="B15" s="4">
        <v>8</v>
      </c>
    </row>
    <row r="16" spans="1:2" x14ac:dyDescent="0.2">
      <c r="A16" s="3" t="s">
        <v>24</v>
      </c>
      <c r="B16" s="2">
        <v>56</v>
      </c>
    </row>
    <row r="17" spans="1:2" x14ac:dyDescent="0.2">
      <c r="A17" s="4" t="s">
        <v>21</v>
      </c>
      <c r="B17" s="2" t="s">
        <v>22</v>
      </c>
    </row>
    <row r="18" spans="1:2" x14ac:dyDescent="0.2">
      <c r="A18" s="4" t="s">
        <v>23</v>
      </c>
      <c r="B18" s="4">
        <v>8</v>
      </c>
    </row>
    <row r="19" spans="1:2" x14ac:dyDescent="0.2">
      <c r="A19" s="3" t="s">
        <v>25</v>
      </c>
      <c r="B19" s="2" t="s">
        <v>26</v>
      </c>
    </row>
    <row r="20" spans="1:2" x14ac:dyDescent="0.2">
      <c r="A20" s="3" t="s">
        <v>27</v>
      </c>
      <c r="B20" s="2" t="s">
        <v>26</v>
      </c>
    </row>
    <row r="21" spans="1:2" x14ac:dyDescent="0.2">
      <c r="A21" s="3" t="s">
        <v>28</v>
      </c>
      <c r="B21" s="2">
        <v>42</v>
      </c>
    </row>
    <row r="22" spans="1:2" x14ac:dyDescent="0.2">
      <c r="A22" s="3" t="s">
        <v>29</v>
      </c>
      <c r="B22" s="2" t="s">
        <v>30</v>
      </c>
    </row>
    <row r="23" spans="1:2" x14ac:dyDescent="0.2">
      <c r="A23" s="3" t="s">
        <v>31</v>
      </c>
      <c r="B23" s="2" t="s">
        <v>32</v>
      </c>
    </row>
    <row r="24" spans="1:2" x14ac:dyDescent="0.2">
      <c r="A24" s="3" t="s">
        <v>33</v>
      </c>
    </row>
    <row r="25" spans="1:2" x14ac:dyDescent="0.2">
      <c r="A25" s="3" t="s">
        <v>34</v>
      </c>
      <c r="B25" s="2" t="s">
        <v>26</v>
      </c>
    </row>
    <row r="26" spans="1:2" x14ac:dyDescent="0.2">
      <c r="A26" s="3" t="s">
        <v>35</v>
      </c>
      <c r="B26" s="2" t="s">
        <v>36</v>
      </c>
    </row>
    <row r="27" spans="1:2" x14ac:dyDescent="0.2">
      <c r="A27" s="3" t="s">
        <v>37</v>
      </c>
    </row>
    <row r="28" spans="1:2" x14ac:dyDescent="0.2">
      <c r="A28" s="5" t="s">
        <v>38</v>
      </c>
      <c r="B28" s="2" t="s">
        <v>39</v>
      </c>
    </row>
    <row r="29" spans="1:2" x14ac:dyDescent="0.2">
      <c r="A29" s="5" t="s">
        <v>40</v>
      </c>
    </row>
    <row r="30" spans="1:2" x14ac:dyDescent="0.2">
      <c r="A30" s="5" t="s">
        <v>41</v>
      </c>
    </row>
    <row r="31" spans="1:2" x14ac:dyDescent="0.2">
      <c r="A31" s="5" t="s">
        <v>38</v>
      </c>
    </row>
    <row r="32" spans="1:2" x14ac:dyDescent="0.2">
      <c r="A32" s="5" t="s">
        <v>40</v>
      </c>
    </row>
    <row r="33" spans="1:2" x14ac:dyDescent="0.2">
      <c r="A33" s="2" t="s">
        <v>42</v>
      </c>
    </row>
    <row r="34" spans="1:2" x14ac:dyDescent="0.2">
      <c r="A34" s="2" t="s">
        <v>43</v>
      </c>
    </row>
    <row r="35" spans="1:2" x14ac:dyDescent="0.2">
      <c r="A35" s="4" t="s">
        <v>44</v>
      </c>
    </row>
    <row r="36" spans="1:2" x14ac:dyDescent="0.2">
      <c r="A36" s="5" t="s">
        <v>45</v>
      </c>
    </row>
    <row r="37" spans="1:2" x14ac:dyDescent="0.2">
      <c r="A37" s="4" t="s">
        <v>46</v>
      </c>
    </row>
    <row r="38" spans="1:2" x14ac:dyDescent="0.2">
      <c r="A38" s="4" t="s">
        <v>47</v>
      </c>
    </row>
    <row r="39" spans="1:2" x14ac:dyDescent="0.2">
      <c r="A39" s="4" t="s">
        <v>38</v>
      </c>
    </row>
    <row r="40" spans="1:2" x14ac:dyDescent="0.2">
      <c r="A40" s="4" t="s">
        <v>48</v>
      </c>
    </row>
    <row r="41" spans="1:2" x14ac:dyDescent="0.2">
      <c r="A41" s="4" t="s">
        <v>49</v>
      </c>
    </row>
    <row r="42" spans="1:2" x14ac:dyDescent="0.2">
      <c r="A42" s="4" t="s">
        <v>50</v>
      </c>
    </row>
    <row r="43" spans="1:2" x14ac:dyDescent="0.2">
      <c r="A43" s="3" t="s">
        <v>51</v>
      </c>
      <c r="B43" s="6">
        <v>46009</v>
      </c>
    </row>
    <row r="44" spans="1:2" x14ac:dyDescent="0.2">
      <c r="A44" s="3" t="s">
        <v>52</v>
      </c>
      <c r="B44" s="6">
        <v>44530</v>
      </c>
    </row>
    <row r="45" spans="1:2" x14ac:dyDescent="0.2">
      <c r="A45" s="3" t="s">
        <v>53</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O7"/>
  <sheetViews>
    <sheetView zoomScaleNormal="100" workbookViewId="0">
      <pane xSplit="2" ySplit="2" topLeftCell="C3" activePane="bottomRight" state="frozen"/>
      <selection pane="topRight"/>
      <selection pane="bottomLeft"/>
      <selection pane="bottomRight"/>
    </sheetView>
  </sheetViews>
  <sheetFormatPr defaultColWidth="8.75" defaultRowHeight="12.75" x14ac:dyDescent="0.2"/>
  <cols>
    <col min="1" max="1" width="7.75" style="2" customWidth="1"/>
    <col min="2" max="2" width="29.375" style="2" customWidth="1"/>
    <col min="3" max="4" width="13.5" style="2" customWidth="1"/>
    <col min="5" max="6" width="12.875" style="2" customWidth="1"/>
    <col min="7" max="7" width="44.125" style="2" customWidth="1"/>
    <col min="8" max="10" width="25.875" style="2" customWidth="1"/>
    <col min="11" max="11" width="12.25" style="2" customWidth="1"/>
    <col min="12" max="1029" width="29.375" style="2" customWidth="1"/>
    <col min="1030" max="16384" width="8.75" style="8"/>
  </cols>
  <sheetData>
    <row r="1" spans="1:11" s="21" customFormat="1" x14ac:dyDescent="0.2">
      <c r="A1" s="10" t="str">
        <f>CONCATENATE("Statustypen bij zaaktype ",Zaaktype!B3,": ",Zaaktype!B4)</f>
        <v>Statustypen bij zaaktype 17: Ambtshalve beschikken</v>
      </c>
      <c r="B1" s="12"/>
      <c r="C1" s="12"/>
      <c r="D1" s="12"/>
      <c r="E1" s="12"/>
      <c r="F1" s="12"/>
      <c r="G1" s="12"/>
      <c r="H1" s="12"/>
      <c r="I1" s="12"/>
      <c r="J1" s="12"/>
      <c r="K1" s="12"/>
    </row>
    <row r="2" spans="1:11" s="18" customFormat="1" ht="25.5" x14ac:dyDescent="0.2">
      <c r="A2" s="3" t="s">
        <v>54</v>
      </c>
      <c r="B2" s="3" t="s">
        <v>55</v>
      </c>
      <c r="C2" s="3" t="s">
        <v>56</v>
      </c>
      <c r="D2" s="3" t="s">
        <v>57</v>
      </c>
      <c r="E2" s="3" t="s">
        <v>58</v>
      </c>
      <c r="F2" s="3" t="s">
        <v>59</v>
      </c>
      <c r="G2" s="3" t="s">
        <v>60</v>
      </c>
      <c r="H2" s="3" t="s">
        <v>61</v>
      </c>
      <c r="I2" s="3" t="s">
        <v>62</v>
      </c>
      <c r="J2" s="3" t="s">
        <v>63</v>
      </c>
      <c r="K2" s="3" t="s">
        <v>64</v>
      </c>
    </row>
    <row r="3" spans="1:11" ht="51" x14ac:dyDescent="0.2">
      <c r="A3" s="2">
        <v>1</v>
      </c>
      <c r="B3" s="2" t="s">
        <v>65</v>
      </c>
      <c r="C3" s="2">
        <v>0</v>
      </c>
      <c r="D3" s="2" t="s">
        <v>66</v>
      </c>
      <c r="E3" s="2" t="s">
        <v>67</v>
      </c>
      <c r="G3" s="2" t="s">
        <v>68</v>
      </c>
      <c r="K3" s="6">
        <v>43800</v>
      </c>
    </row>
    <row r="4" spans="1:11" ht="25.5" x14ac:dyDescent="0.2">
      <c r="A4" s="2">
        <v>2</v>
      </c>
      <c r="B4" s="2" t="s">
        <v>69</v>
      </c>
      <c r="C4" s="2">
        <v>2</v>
      </c>
      <c r="D4" s="2" t="s">
        <v>66</v>
      </c>
      <c r="E4" s="2" t="s">
        <v>26</v>
      </c>
      <c r="G4" s="2" t="s">
        <v>70</v>
      </c>
      <c r="H4" s="2" t="s">
        <v>71</v>
      </c>
      <c r="K4" s="6">
        <v>43800</v>
      </c>
    </row>
    <row r="5" spans="1:11" ht="89.25" x14ac:dyDescent="0.2">
      <c r="A5" s="2">
        <v>3</v>
      </c>
      <c r="B5" s="2" t="s">
        <v>72</v>
      </c>
      <c r="C5" s="2">
        <v>38</v>
      </c>
      <c r="D5" s="2" t="s">
        <v>66</v>
      </c>
      <c r="E5" s="2" t="s">
        <v>26</v>
      </c>
      <c r="G5" s="2" t="s">
        <v>73</v>
      </c>
      <c r="K5" s="6">
        <v>43800</v>
      </c>
    </row>
    <row r="6" spans="1:11" ht="38.25" x14ac:dyDescent="0.2">
      <c r="A6" s="2">
        <v>4</v>
      </c>
      <c r="B6" s="2" t="s">
        <v>74</v>
      </c>
      <c r="C6" s="2">
        <v>14</v>
      </c>
      <c r="D6" s="2" t="s">
        <v>66</v>
      </c>
      <c r="E6" s="2" t="s">
        <v>67</v>
      </c>
      <c r="G6" s="2" t="s">
        <v>75</v>
      </c>
      <c r="K6" s="6">
        <v>43800</v>
      </c>
    </row>
    <row r="7" spans="1:11" ht="63.75" x14ac:dyDescent="0.2">
      <c r="A7" s="2">
        <v>5</v>
      </c>
      <c r="B7" s="2" t="s">
        <v>76</v>
      </c>
      <c r="C7" s="2">
        <v>2</v>
      </c>
      <c r="D7" s="2" t="s">
        <v>66</v>
      </c>
      <c r="E7" s="2" t="s">
        <v>26</v>
      </c>
      <c r="G7" s="2" t="s">
        <v>77</v>
      </c>
      <c r="K7" s="6">
        <v>43800</v>
      </c>
    </row>
  </sheetData>
  <pageMargins left="0" right="0" top="0.39370078740157483" bottom="0.39370078740157483" header="0" footer="0"/>
  <pageSetup paperSize="9" scale="48" orientation="landscape"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84A2-FD7E-4928-B361-A9A29732574F}">
  <dimension ref="A1:F21"/>
  <sheetViews>
    <sheetView workbookViewId="0">
      <pane xSplit="3" ySplit="2" topLeftCell="D3" activePane="bottomRight" state="frozen"/>
      <selection pane="topRight"/>
      <selection pane="bottomLeft"/>
      <selection pane="bottomRight" activeCell="B2" sqref="B2"/>
    </sheetView>
  </sheetViews>
  <sheetFormatPr defaultColWidth="8.75" defaultRowHeight="12.75" x14ac:dyDescent="0.2"/>
  <cols>
    <col min="1" max="1" width="4.25" style="8" customWidth="1"/>
    <col min="2" max="2" width="15.625" style="8" customWidth="1"/>
    <col min="3" max="3" width="23.25" style="8" customWidth="1"/>
    <col min="4" max="4" width="44" style="8" customWidth="1"/>
    <col min="5" max="5" width="8.75" style="8"/>
    <col min="6" max="6" width="61.5" style="8" customWidth="1"/>
    <col min="7" max="16384" width="8.75" style="8"/>
  </cols>
  <sheetData>
    <row r="1" spans="1:6" s="21" customFormat="1" x14ac:dyDescent="0.2">
      <c r="A1" s="13" t="str">
        <f>CONCATENATE("Checklistst bij zaaktype ",Zaaktype!B3,": ",Zaaktype!B4)</f>
        <v>Checklistst bij zaaktype 17: Ambtshalve beschikken</v>
      </c>
    </row>
    <row r="2" spans="1:6" x14ac:dyDescent="0.2">
      <c r="A2" s="22" t="s">
        <v>78</v>
      </c>
      <c r="B2" s="23"/>
      <c r="C2" s="23" t="s">
        <v>79</v>
      </c>
      <c r="D2" s="23" t="s">
        <v>80</v>
      </c>
      <c r="E2" s="23" t="s">
        <v>81</v>
      </c>
      <c r="F2" s="23" t="s">
        <v>60</v>
      </c>
    </row>
    <row r="3" spans="1:6" ht="102" x14ac:dyDescent="0.2">
      <c r="A3" s="27">
        <v>1</v>
      </c>
      <c r="B3" s="27" t="s">
        <v>65</v>
      </c>
      <c r="C3" s="28" t="s">
        <v>82</v>
      </c>
      <c r="D3" s="28" t="s">
        <v>83</v>
      </c>
      <c r="E3" s="28" t="s">
        <v>67</v>
      </c>
      <c r="F3" s="28" t="s">
        <v>84</v>
      </c>
    </row>
    <row r="4" spans="1:6" ht="25.5" x14ac:dyDescent="0.2">
      <c r="A4" s="18">
        <v>2</v>
      </c>
      <c r="B4" s="18" t="s">
        <v>85</v>
      </c>
      <c r="C4" s="8" t="s">
        <v>86</v>
      </c>
      <c r="D4" s="8" t="s">
        <v>87</v>
      </c>
      <c r="E4" s="8" t="s">
        <v>26</v>
      </c>
      <c r="F4" s="8" t="s">
        <v>88</v>
      </c>
    </row>
    <row r="5" spans="1:6" ht="25.5" x14ac:dyDescent="0.2">
      <c r="A5" s="29">
        <v>2</v>
      </c>
      <c r="B5" s="29" t="s">
        <v>85</v>
      </c>
      <c r="C5" s="29" t="s">
        <v>89</v>
      </c>
      <c r="D5" s="29" t="s">
        <v>90</v>
      </c>
      <c r="E5" s="29" t="s">
        <v>26</v>
      </c>
      <c r="F5" s="29" t="s">
        <v>91</v>
      </c>
    </row>
    <row r="6" spans="1:6" ht="25.5" x14ac:dyDescent="0.2">
      <c r="A6" s="18">
        <v>3</v>
      </c>
      <c r="B6" s="18" t="s">
        <v>72</v>
      </c>
      <c r="C6" s="8" t="s">
        <v>92</v>
      </c>
      <c r="D6" s="8" t="s">
        <v>93</v>
      </c>
      <c r="E6" s="8" t="s">
        <v>67</v>
      </c>
      <c r="F6" s="8" t="s">
        <v>94</v>
      </c>
    </row>
    <row r="7" spans="1:6" ht="25.5" x14ac:dyDescent="0.2">
      <c r="A7" s="8">
        <v>3</v>
      </c>
      <c r="B7" s="8" t="s">
        <v>72</v>
      </c>
      <c r="C7" s="8" t="s">
        <v>95</v>
      </c>
      <c r="D7" s="8" t="s">
        <v>96</v>
      </c>
      <c r="E7" s="8" t="s">
        <v>26</v>
      </c>
    </row>
    <row r="8" spans="1:6" ht="140.25" x14ac:dyDescent="0.2">
      <c r="A8" s="8">
        <v>3</v>
      </c>
      <c r="B8" s="8" t="s">
        <v>72</v>
      </c>
      <c r="C8" s="8" t="s">
        <v>97</v>
      </c>
      <c r="D8" s="8" t="s">
        <v>98</v>
      </c>
      <c r="E8" s="8" t="s">
        <v>67</v>
      </c>
      <c r="F8" s="8" t="s">
        <v>99</v>
      </c>
    </row>
    <row r="9" spans="1:6" ht="76.5" x14ac:dyDescent="0.2">
      <c r="A9" s="8">
        <v>3</v>
      </c>
      <c r="B9" s="8" t="s">
        <v>72</v>
      </c>
      <c r="C9" s="8" t="s">
        <v>100</v>
      </c>
      <c r="D9" s="8" t="s">
        <v>101</v>
      </c>
      <c r="E9" s="8" t="s">
        <v>67</v>
      </c>
      <c r="F9" s="8" t="s">
        <v>102</v>
      </c>
    </row>
    <row r="10" spans="1:6" ht="114.75" x14ac:dyDescent="0.2">
      <c r="A10" s="8">
        <v>3</v>
      </c>
      <c r="B10" s="8" t="s">
        <v>72</v>
      </c>
      <c r="C10" s="8" t="s">
        <v>103</v>
      </c>
      <c r="D10" s="8" t="s">
        <v>104</v>
      </c>
      <c r="E10" s="8" t="s">
        <v>67</v>
      </c>
      <c r="F10" s="8" t="s">
        <v>105</v>
      </c>
    </row>
    <row r="11" spans="1:6" ht="165.75" x14ac:dyDescent="0.2">
      <c r="A11" s="8">
        <v>3</v>
      </c>
      <c r="B11" s="8" t="s">
        <v>72</v>
      </c>
      <c r="C11" s="8" t="s">
        <v>106</v>
      </c>
      <c r="D11" s="8" t="s">
        <v>107</v>
      </c>
      <c r="E11" s="8" t="s">
        <v>26</v>
      </c>
      <c r="F11" s="8" t="s">
        <v>108</v>
      </c>
    </row>
    <row r="12" spans="1:6" ht="51" x14ac:dyDescent="0.2">
      <c r="A12" s="8">
        <v>3</v>
      </c>
      <c r="B12" s="8" t="s">
        <v>72</v>
      </c>
      <c r="C12" s="8" t="s">
        <v>109</v>
      </c>
      <c r="D12" s="8" t="s">
        <v>110</v>
      </c>
      <c r="E12" s="8" t="s">
        <v>67</v>
      </c>
      <c r="F12" s="8" t="s">
        <v>111</v>
      </c>
    </row>
    <row r="13" spans="1:6" ht="127.5" x14ac:dyDescent="0.2">
      <c r="A13" s="29">
        <v>3</v>
      </c>
      <c r="B13" s="29" t="s">
        <v>72</v>
      </c>
      <c r="C13" s="29" t="s">
        <v>112</v>
      </c>
      <c r="D13" s="29" t="s">
        <v>113</v>
      </c>
      <c r="E13" s="29" t="s">
        <v>67</v>
      </c>
      <c r="F13" s="29" t="s">
        <v>114</v>
      </c>
    </row>
    <row r="14" spans="1:6" ht="38.25" x14ac:dyDescent="0.2">
      <c r="A14" s="18">
        <v>4</v>
      </c>
      <c r="B14" s="18" t="s">
        <v>74</v>
      </c>
      <c r="C14" s="8" t="s">
        <v>115</v>
      </c>
      <c r="D14" s="8" t="s">
        <v>116</v>
      </c>
      <c r="E14" s="8" t="s">
        <v>26</v>
      </c>
      <c r="F14" s="8" t="s">
        <v>117</v>
      </c>
    </row>
    <row r="15" spans="1:6" ht="63.75" x14ac:dyDescent="0.2">
      <c r="A15" s="29">
        <v>4</v>
      </c>
      <c r="B15" s="29" t="s">
        <v>74</v>
      </c>
      <c r="C15" s="29" t="s">
        <v>118</v>
      </c>
      <c r="D15" s="29" t="s">
        <v>119</v>
      </c>
      <c r="E15" s="29" t="s">
        <v>26</v>
      </c>
      <c r="F15" s="29" t="s">
        <v>120</v>
      </c>
    </row>
    <row r="16" spans="1:6" ht="191.25" x14ac:dyDescent="0.2">
      <c r="A16" s="18">
        <v>5</v>
      </c>
      <c r="B16" s="18" t="s">
        <v>76</v>
      </c>
      <c r="C16" s="8" t="s">
        <v>121</v>
      </c>
      <c r="D16" s="8" t="s">
        <v>122</v>
      </c>
      <c r="E16" s="8" t="s">
        <v>26</v>
      </c>
      <c r="F16" s="8" t="s">
        <v>123</v>
      </c>
    </row>
    <row r="17" spans="1:6" ht="63.75" x14ac:dyDescent="0.2">
      <c r="A17" s="8">
        <v>5</v>
      </c>
      <c r="B17" s="8" t="s">
        <v>76</v>
      </c>
      <c r="C17" s="8" t="s">
        <v>124</v>
      </c>
      <c r="D17" s="8" t="s">
        <v>125</v>
      </c>
      <c r="E17" s="8" t="s">
        <v>26</v>
      </c>
      <c r="F17" s="8" t="s">
        <v>126</v>
      </c>
    </row>
    <row r="18" spans="1:6" ht="63.75" x14ac:dyDescent="0.2">
      <c r="A18" s="8">
        <v>5</v>
      </c>
      <c r="B18" s="8" t="s">
        <v>76</v>
      </c>
      <c r="C18" s="8" t="s">
        <v>127</v>
      </c>
      <c r="D18" s="8" t="s">
        <v>128</v>
      </c>
      <c r="E18" s="8" t="s">
        <v>26</v>
      </c>
      <c r="F18" s="8" t="s">
        <v>129</v>
      </c>
    </row>
    <row r="19" spans="1:6" ht="63.75" x14ac:dyDescent="0.2">
      <c r="A19" s="8">
        <v>5</v>
      </c>
      <c r="B19" s="8" t="s">
        <v>76</v>
      </c>
      <c r="C19" s="8" t="s">
        <v>130</v>
      </c>
      <c r="D19" s="8" t="s">
        <v>131</v>
      </c>
      <c r="E19" s="8" t="s">
        <v>26</v>
      </c>
      <c r="F19" s="8" t="s">
        <v>132</v>
      </c>
    </row>
    <row r="20" spans="1:6" ht="127.5" x14ac:dyDescent="0.2">
      <c r="A20" s="8">
        <v>5</v>
      </c>
      <c r="B20" s="8" t="s">
        <v>76</v>
      </c>
      <c r="C20" s="8" t="s">
        <v>133</v>
      </c>
      <c r="D20" s="8" t="s">
        <v>134</v>
      </c>
      <c r="E20" s="8" t="s">
        <v>26</v>
      </c>
      <c r="F20" s="8" t="s">
        <v>135</v>
      </c>
    </row>
    <row r="21" spans="1:6" ht="76.5" x14ac:dyDescent="0.2">
      <c r="A21" s="29">
        <v>5</v>
      </c>
      <c r="B21" s="29" t="s">
        <v>76</v>
      </c>
      <c r="C21" s="29" t="s">
        <v>136</v>
      </c>
      <c r="D21" s="29" t="s">
        <v>137</v>
      </c>
      <c r="E21" s="29" t="s">
        <v>26</v>
      </c>
      <c r="F21" s="29"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3.5" style="2" customWidth="1"/>
    <col min="2" max="2" width="25.125" style="2" customWidth="1"/>
    <col min="3" max="3" width="31.625" style="2" customWidth="1"/>
    <col min="4" max="4" width="30.125" style="2" customWidth="1"/>
    <col min="5" max="5" width="19.5" style="2" customWidth="1"/>
    <col min="6" max="1024" width="42.75" style="2" customWidth="1"/>
    <col min="1025" max="16384" width="8.75" style="8"/>
  </cols>
  <sheetData>
    <row r="1" spans="1:5" s="21" customFormat="1" x14ac:dyDescent="0.2">
      <c r="A1" s="10" t="str">
        <f>CONCATENATE("Roltypen bij zaaktype ",Zaaktype!B3,": ",Zaaktype!B4)</f>
        <v>Roltypen bij zaaktype 17: Ambtshalve beschikken</v>
      </c>
      <c r="B1" s="12"/>
      <c r="C1" s="12"/>
      <c r="D1" s="12"/>
      <c r="E1" s="12"/>
    </row>
    <row r="2" spans="1:5" ht="25.5" x14ac:dyDescent="0.2">
      <c r="A2" s="3" t="s">
        <v>55</v>
      </c>
      <c r="B2" s="3" t="s">
        <v>139</v>
      </c>
      <c r="C2" s="3" t="s">
        <v>140</v>
      </c>
      <c r="D2" s="3" t="s">
        <v>141</v>
      </c>
      <c r="E2" s="3" t="s">
        <v>64</v>
      </c>
    </row>
    <row r="3" spans="1:5" x14ac:dyDescent="0.2">
      <c r="A3" s="2" t="s">
        <v>142</v>
      </c>
      <c r="B3" s="2" t="s">
        <v>143</v>
      </c>
      <c r="C3" s="3"/>
      <c r="D3" s="3"/>
      <c r="E3" s="20">
        <v>44530</v>
      </c>
    </row>
    <row r="4" spans="1:5" ht="25.5" x14ac:dyDescent="0.2">
      <c r="A4" s="2" t="s">
        <v>144</v>
      </c>
      <c r="B4" s="2" t="s">
        <v>145</v>
      </c>
      <c r="C4" s="2" t="s">
        <v>146</v>
      </c>
      <c r="E4" s="20">
        <v>44530</v>
      </c>
    </row>
    <row r="5" spans="1:5" ht="25.5" x14ac:dyDescent="0.2">
      <c r="A5" s="2" t="s">
        <v>147</v>
      </c>
      <c r="B5" s="2" t="s">
        <v>148</v>
      </c>
      <c r="D5" s="2" t="s">
        <v>149</v>
      </c>
      <c r="E5" s="20">
        <v>44530</v>
      </c>
    </row>
    <row r="6" spans="1:5" x14ac:dyDescent="0.2">
      <c r="A6" s="2" t="s">
        <v>150</v>
      </c>
      <c r="B6" s="2" t="s">
        <v>150</v>
      </c>
      <c r="E6" s="20">
        <v>44530</v>
      </c>
    </row>
    <row r="7" spans="1:5" x14ac:dyDescent="0.2">
      <c r="A7" s="2" t="s">
        <v>151</v>
      </c>
      <c r="B7" s="2" t="s">
        <v>145</v>
      </c>
      <c r="C7" s="2" t="s">
        <v>152</v>
      </c>
      <c r="E7" s="20">
        <v>44530</v>
      </c>
    </row>
    <row r="8" spans="1:5" x14ac:dyDescent="0.2">
      <c r="A8" s="2" t="s">
        <v>153</v>
      </c>
      <c r="B8" s="2" t="s">
        <v>145</v>
      </c>
      <c r="C8" s="2" t="s">
        <v>154</v>
      </c>
      <c r="E8" s="20">
        <v>44530</v>
      </c>
    </row>
    <row r="9" spans="1:5" ht="25.5" x14ac:dyDescent="0.2">
      <c r="A9" s="2" t="s">
        <v>155</v>
      </c>
      <c r="B9" s="2" t="s">
        <v>148</v>
      </c>
      <c r="D9" s="2" t="s">
        <v>156</v>
      </c>
      <c r="E9" s="20">
        <v>44530</v>
      </c>
    </row>
    <row r="10" spans="1:5" x14ac:dyDescent="0.2">
      <c r="A10" s="2" t="s">
        <v>157</v>
      </c>
      <c r="B10" s="2" t="s">
        <v>158</v>
      </c>
      <c r="D10" s="2" t="s">
        <v>159</v>
      </c>
      <c r="E10" s="20">
        <v>44530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7.625" style="2" customWidth="1"/>
    <col min="2" max="2" width="16.875" style="2" customWidth="1"/>
    <col min="3" max="3" width="69.375" style="2" customWidth="1"/>
    <col min="4" max="4" width="11.75" style="2" customWidth="1"/>
    <col min="5" max="5" width="26.25" style="2" customWidth="1"/>
    <col min="6" max="1023" width="69.375" style="2" customWidth="1"/>
    <col min="1024" max="16384" width="8.75" style="8"/>
  </cols>
  <sheetData>
    <row r="1" spans="1:4" s="21" customFormat="1" x14ac:dyDescent="0.2">
      <c r="A1" s="10" t="str">
        <f>CONCATENATE("Zaakobjecttypen bij zaaktype ",Zaaktype!B3,": ",Zaaktype!B4)</f>
        <v>Zaakobjecttypen bij zaaktype 17: Ambtshalve beschikken</v>
      </c>
      <c r="B1" s="10"/>
      <c r="C1" s="12"/>
      <c r="D1" s="12"/>
    </row>
    <row r="2" spans="1:4" ht="25.5" x14ac:dyDescent="0.2">
      <c r="A2" s="3" t="s">
        <v>160</v>
      </c>
      <c r="B2" s="3" t="s">
        <v>161</v>
      </c>
      <c r="C2" s="3" t="s">
        <v>162</v>
      </c>
      <c r="D2" s="3" t="s">
        <v>64</v>
      </c>
    </row>
    <row r="3" spans="1:4" x14ac:dyDescent="0.2">
      <c r="A3" s="2" t="s">
        <v>163</v>
      </c>
      <c r="B3" s="2" t="s">
        <v>164</v>
      </c>
      <c r="C3" s="2" t="s">
        <v>165</v>
      </c>
      <c r="D3" s="6">
        <v>43800</v>
      </c>
    </row>
    <row r="4" spans="1:4" x14ac:dyDescent="0.2">
      <c r="A4" s="2" t="s">
        <v>166</v>
      </c>
      <c r="B4" s="2" t="s">
        <v>164</v>
      </c>
      <c r="C4" s="2" t="s">
        <v>167</v>
      </c>
      <c r="D4" s="6">
        <v>43800</v>
      </c>
    </row>
    <row r="5" spans="1:4" x14ac:dyDescent="0.2">
      <c r="A5" s="2" t="s">
        <v>168</v>
      </c>
      <c r="B5" s="2" t="s">
        <v>164</v>
      </c>
      <c r="C5" s="2" t="s">
        <v>169</v>
      </c>
      <c r="D5" s="6">
        <v>43800</v>
      </c>
    </row>
    <row r="6" spans="1:4" x14ac:dyDescent="0.2">
      <c r="A6" s="2" t="s">
        <v>170</v>
      </c>
      <c r="B6" s="2" t="s">
        <v>164</v>
      </c>
      <c r="C6" s="2" t="s">
        <v>171</v>
      </c>
      <c r="D6" s="6">
        <v>43800</v>
      </c>
    </row>
    <row r="7" spans="1:4" x14ac:dyDescent="0.2">
      <c r="A7" s="2" t="s">
        <v>172</v>
      </c>
      <c r="B7" s="2" t="s">
        <v>164</v>
      </c>
      <c r="C7" s="2" t="s">
        <v>173</v>
      </c>
      <c r="D7" s="6">
        <v>43800</v>
      </c>
    </row>
    <row r="8" spans="1:4" x14ac:dyDescent="0.2">
      <c r="A8" s="2" t="s">
        <v>174</v>
      </c>
      <c r="B8" s="2" t="s">
        <v>164</v>
      </c>
      <c r="C8" s="2" t="s">
        <v>175</v>
      </c>
      <c r="D8" s="6">
        <v>43800</v>
      </c>
    </row>
    <row r="9" spans="1:4" x14ac:dyDescent="0.2">
      <c r="A9" s="2" t="s">
        <v>176</v>
      </c>
      <c r="B9" s="2" t="s">
        <v>164</v>
      </c>
      <c r="C9" s="2" t="s">
        <v>177</v>
      </c>
      <c r="D9" s="6">
        <v>43800</v>
      </c>
    </row>
    <row r="10" spans="1:4" x14ac:dyDescent="0.2">
      <c r="A10" s="2" t="s">
        <v>178</v>
      </c>
      <c r="B10" s="2" t="s">
        <v>164</v>
      </c>
      <c r="C10" s="2" t="s">
        <v>179</v>
      </c>
      <c r="D10" s="6">
        <v>43800</v>
      </c>
    </row>
    <row r="11" spans="1:4" x14ac:dyDescent="0.2">
      <c r="A11" s="2" t="s">
        <v>180</v>
      </c>
      <c r="B11" s="2" t="s">
        <v>164</v>
      </c>
      <c r="C11" s="2" t="s">
        <v>181</v>
      </c>
      <c r="D11" s="6">
        <v>43800</v>
      </c>
    </row>
    <row r="12" spans="1:4" x14ac:dyDescent="0.2">
      <c r="A12" s="2" t="s">
        <v>182</v>
      </c>
      <c r="B12" s="2" t="s">
        <v>164</v>
      </c>
      <c r="C12" s="2" t="s">
        <v>183</v>
      </c>
      <c r="D12" s="6">
        <v>43800</v>
      </c>
    </row>
    <row r="13" spans="1:4" x14ac:dyDescent="0.2">
      <c r="A13" s="2" t="s">
        <v>184</v>
      </c>
      <c r="B13" s="2" t="s">
        <v>164</v>
      </c>
      <c r="C13" s="2" t="s">
        <v>185</v>
      </c>
      <c r="D13" s="6">
        <v>43800</v>
      </c>
    </row>
    <row r="14" spans="1:4" x14ac:dyDescent="0.2">
      <c r="A14" s="2" t="s">
        <v>186</v>
      </c>
      <c r="B14" s="2" t="s">
        <v>164</v>
      </c>
      <c r="C14" s="2" t="s">
        <v>187</v>
      </c>
      <c r="D14" s="6">
        <v>43800</v>
      </c>
    </row>
    <row r="15" spans="1:4" x14ac:dyDescent="0.2">
      <c r="A15" s="2" t="s">
        <v>188</v>
      </c>
      <c r="B15" s="2" t="s">
        <v>164</v>
      </c>
      <c r="C15" s="2" t="s">
        <v>189</v>
      </c>
      <c r="D15" s="6">
        <v>43800</v>
      </c>
    </row>
    <row r="16" spans="1:4" x14ac:dyDescent="0.2">
      <c r="A16" s="2" t="s">
        <v>190</v>
      </c>
      <c r="B16" s="2" t="s">
        <v>164</v>
      </c>
      <c r="C16" s="2" t="s">
        <v>191</v>
      </c>
      <c r="D16" s="6">
        <v>43800</v>
      </c>
    </row>
    <row r="17" spans="1:4" x14ac:dyDescent="0.2">
      <c r="A17" s="2" t="s">
        <v>192</v>
      </c>
      <c r="B17" s="2" t="s">
        <v>164</v>
      </c>
      <c r="C17" s="2" t="s">
        <v>193</v>
      </c>
      <c r="D17" s="6">
        <v>43800</v>
      </c>
    </row>
    <row r="18" spans="1:4" x14ac:dyDescent="0.2">
      <c r="A18" s="2" t="s">
        <v>194</v>
      </c>
      <c r="B18" s="2" t="s">
        <v>164</v>
      </c>
      <c r="C18" s="2" t="s">
        <v>195</v>
      </c>
      <c r="D18" s="6">
        <v>43800</v>
      </c>
    </row>
    <row r="19" spans="1:4" ht="25.5" x14ac:dyDescent="0.2">
      <c r="A19" s="2" t="s">
        <v>196</v>
      </c>
      <c r="B19" s="2" t="s">
        <v>164</v>
      </c>
      <c r="C19" s="2" t="s">
        <v>197</v>
      </c>
      <c r="D19" s="6">
        <v>43800</v>
      </c>
    </row>
    <row r="20" spans="1:4" x14ac:dyDescent="0.2">
      <c r="A20" s="2" t="s">
        <v>198</v>
      </c>
      <c r="B20" s="2" t="s">
        <v>164</v>
      </c>
      <c r="C20" s="2" t="s">
        <v>199</v>
      </c>
      <c r="D20" s="6">
        <v>43800</v>
      </c>
    </row>
    <row r="21" spans="1:4" x14ac:dyDescent="0.2">
      <c r="A21" s="2" t="s">
        <v>200</v>
      </c>
      <c r="B21" s="2" t="s">
        <v>164</v>
      </c>
      <c r="C21" s="2" t="s">
        <v>201</v>
      </c>
      <c r="D21" s="6">
        <v>43800</v>
      </c>
    </row>
    <row r="22" spans="1:4" x14ac:dyDescent="0.2">
      <c r="A22" s="2" t="s">
        <v>202</v>
      </c>
      <c r="B22" s="2" t="s">
        <v>164</v>
      </c>
      <c r="C22" s="2" t="s">
        <v>203</v>
      </c>
      <c r="D22" s="6">
        <v>43800</v>
      </c>
    </row>
    <row r="23" spans="1:4" x14ac:dyDescent="0.2">
      <c r="A23" s="2" t="s">
        <v>204</v>
      </c>
      <c r="B23" s="2" t="s">
        <v>164</v>
      </c>
      <c r="C23" s="2" t="s">
        <v>205</v>
      </c>
      <c r="D23" s="6">
        <v>43800</v>
      </c>
    </row>
    <row r="24" spans="1:4" x14ac:dyDescent="0.2">
      <c r="A24" s="2" t="s">
        <v>206</v>
      </c>
      <c r="B24" s="2" t="s">
        <v>164</v>
      </c>
      <c r="C24" s="2" t="s">
        <v>207</v>
      </c>
      <c r="D24" s="6">
        <v>43800</v>
      </c>
    </row>
    <row r="25" spans="1:4" x14ac:dyDescent="0.2">
      <c r="A25" s="2" t="s">
        <v>208</v>
      </c>
      <c r="B25" s="2" t="s">
        <v>164</v>
      </c>
      <c r="C25" s="2" t="s">
        <v>209</v>
      </c>
      <c r="D25" s="6">
        <v>43800</v>
      </c>
    </row>
    <row r="26" spans="1:4" x14ac:dyDescent="0.2">
      <c r="A26" s="2" t="s">
        <v>210</v>
      </c>
      <c r="B26" s="2" t="s">
        <v>164</v>
      </c>
      <c r="C26" s="2" t="s">
        <v>211</v>
      </c>
      <c r="D26" s="6">
        <v>43800</v>
      </c>
    </row>
    <row r="27" spans="1:4" x14ac:dyDescent="0.2">
      <c r="A27" s="2" t="s">
        <v>212</v>
      </c>
      <c r="B27" s="2" t="s">
        <v>164</v>
      </c>
      <c r="C27" s="2" t="s">
        <v>213</v>
      </c>
      <c r="D27" s="6">
        <v>43800</v>
      </c>
    </row>
    <row r="28" spans="1:4" x14ac:dyDescent="0.2">
      <c r="A28" s="2" t="s">
        <v>214</v>
      </c>
      <c r="B28" s="2" t="s">
        <v>164</v>
      </c>
      <c r="C28" s="2" t="s">
        <v>215</v>
      </c>
      <c r="D28" s="6">
        <v>43800</v>
      </c>
    </row>
    <row r="29" spans="1:4" x14ac:dyDescent="0.2">
      <c r="A29" s="2" t="s">
        <v>216</v>
      </c>
      <c r="B29" s="2" t="s">
        <v>164</v>
      </c>
      <c r="C29" s="2" t="s">
        <v>217</v>
      </c>
      <c r="D29" s="6">
        <v>43800</v>
      </c>
    </row>
    <row r="30" spans="1:4" x14ac:dyDescent="0.2">
      <c r="A30" s="2" t="s">
        <v>218</v>
      </c>
      <c r="B30" s="2" t="s">
        <v>164</v>
      </c>
      <c r="C30" s="2" t="s">
        <v>219</v>
      </c>
      <c r="D30" s="6">
        <v>43800</v>
      </c>
    </row>
    <row r="31" spans="1:4" x14ac:dyDescent="0.2">
      <c r="A31" s="2" t="s">
        <v>220</v>
      </c>
      <c r="B31" s="2" t="s">
        <v>164</v>
      </c>
      <c r="C31" s="2" t="s">
        <v>221</v>
      </c>
      <c r="D31" s="6">
        <v>43800</v>
      </c>
    </row>
    <row r="32" spans="1:4" x14ac:dyDescent="0.2">
      <c r="A32" s="2" t="s">
        <v>222</v>
      </c>
      <c r="B32" s="2" t="s">
        <v>164</v>
      </c>
      <c r="C32" s="2" t="s">
        <v>223</v>
      </c>
      <c r="D32" s="6">
        <v>43800</v>
      </c>
    </row>
    <row r="33" spans="1:4" x14ac:dyDescent="0.2">
      <c r="A33" s="2" t="s">
        <v>224</v>
      </c>
      <c r="B33" s="2" t="s">
        <v>164</v>
      </c>
      <c r="C33" s="2" t="s">
        <v>225</v>
      </c>
      <c r="D33" s="6">
        <v>43800</v>
      </c>
    </row>
    <row r="34" spans="1:4" x14ac:dyDescent="0.2">
      <c r="A34" s="2" t="s">
        <v>226</v>
      </c>
      <c r="B34" s="2" t="s">
        <v>164</v>
      </c>
      <c r="C34" s="2" t="s">
        <v>227</v>
      </c>
      <c r="D34" s="6">
        <v>43800</v>
      </c>
    </row>
    <row r="35" spans="1:4" x14ac:dyDescent="0.2">
      <c r="A35" s="2" t="s">
        <v>228</v>
      </c>
      <c r="B35" s="2" t="s">
        <v>164</v>
      </c>
      <c r="C35" s="2" t="s">
        <v>229</v>
      </c>
      <c r="D35" s="6">
        <v>43800</v>
      </c>
    </row>
    <row r="36" spans="1:4" x14ac:dyDescent="0.2">
      <c r="A36" s="2" t="s">
        <v>230</v>
      </c>
      <c r="B36" s="2" t="s">
        <v>164</v>
      </c>
      <c r="C36" s="2" t="s">
        <v>231</v>
      </c>
      <c r="D36" s="6">
        <v>43800</v>
      </c>
    </row>
    <row r="37" spans="1:4" ht="38.25" x14ac:dyDescent="0.2">
      <c r="A37" s="2" t="s">
        <v>232</v>
      </c>
      <c r="B37" s="2" t="s">
        <v>233</v>
      </c>
      <c r="C37" s="2" t="s">
        <v>234</v>
      </c>
      <c r="D37" s="6">
        <v>43800</v>
      </c>
    </row>
    <row r="38" spans="1:4" x14ac:dyDescent="0.2">
      <c r="A38" s="2" t="s">
        <v>235</v>
      </c>
      <c r="B38" s="2" t="s">
        <v>164</v>
      </c>
      <c r="C38" s="2" t="s">
        <v>236</v>
      </c>
      <c r="D38" s="6">
        <v>43800</v>
      </c>
    </row>
    <row r="39" spans="1:4" x14ac:dyDescent="0.2">
      <c r="A39" s="2" t="s">
        <v>237</v>
      </c>
      <c r="B39" s="2" t="s">
        <v>164</v>
      </c>
      <c r="C39" s="2" t="s">
        <v>238</v>
      </c>
      <c r="D39" s="6">
        <v>43800</v>
      </c>
    </row>
    <row r="40" spans="1:4" x14ac:dyDescent="0.2">
      <c r="A40" s="2" t="s">
        <v>239</v>
      </c>
      <c r="B40" s="2" t="s">
        <v>164</v>
      </c>
      <c r="C40" s="2" t="s">
        <v>240</v>
      </c>
      <c r="D40" s="6">
        <v>43800</v>
      </c>
    </row>
    <row r="41" spans="1:4" x14ac:dyDescent="0.2">
      <c r="A41" s="2" t="s">
        <v>241</v>
      </c>
      <c r="B41" s="2" t="s">
        <v>164</v>
      </c>
      <c r="C41" s="2" t="s">
        <v>242</v>
      </c>
      <c r="D41" s="6">
        <v>43800</v>
      </c>
    </row>
    <row r="42" spans="1:4" x14ac:dyDescent="0.2">
      <c r="A42" s="2" t="s">
        <v>243</v>
      </c>
      <c r="B42" s="2" t="s">
        <v>164</v>
      </c>
      <c r="C42" s="2" t="s">
        <v>244</v>
      </c>
      <c r="D42" s="6">
        <v>43800</v>
      </c>
    </row>
    <row r="43" spans="1:4" x14ac:dyDescent="0.2">
      <c r="A43" s="2" t="s">
        <v>245</v>
      </c>
      <c r="B43" s="2" t="s">
        <v>164</v>
      </c>
      <c r="C43" s="2" t="s">
        <v>246</v>
      </c>
      <c r="D43" s="6">
        <v>43800</v>
      </c>
    </row>
    <row r="44" spans="1:4" x14ac:dyDescent="0.2">
      <c r="A44" s="2" t="s">
        <v>247</v>
      </c>
      <c r="B44" s="2" t="s">
        <v>164</v>
      </c>
      <c r="C44" s="2" t="s">
        <v>248</v>
      </c>
      <c r="D44" s="6">
        <v>43800</v>
      </c>
    </row>
    <row r="45" spans="1:4" x14ac:dyDescent="0.2">
      <c r="A45" s="2" t="s">
        <v>249</v>
      </c>
      <c r="B45" s="2" t="s">
        <v>164</v>
      </c>
      <c r="C45" s="2" t="s">
        <v>250</v>
      </c>
      <c r="D45" s="6">
        <v>43800</v>
      </c>
    </row>
  </sheetData>
  <autoFilter ref="A2:AMI2" xr:uid="{00000000-0001-0000-0300-000000000000}"/>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3"/>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2.625" style="2" customWidth="1"/>
    <col min="2" max="2" width="40.875" style="2" customWidth="1"/>
    <col min="3" max="3" width="21.25" style="2" customWidth="1"/>
    <col min="4" max="4" width="10.125" style="2" customWidth="1"/>
    <col min="5" max="5" width="8.125" style="2" customWidth="1"/>
    <col min="6" max="6" width="12.125" style="2" customWidth="1"/>
    <col min="7" max="7" width="22.25" style="2" customWidth="1"/>
    <col min="8" max="8" width="56.75" style="2" customWidth="1"/>
    <col min="9" max="9" width="16.875" style="2" customWidth="1"/>
    <col min="10" max="1027" width="56.75" style="2" customWidth="1"/>
    <col min="1028" max="16384" width="8.75" style="8"/>
  </cols>
  <sheetData>
    <row r="1" spans="1:9" s="21" customFormat="1" x14ac:dyDescent="0.2">
      <c r="A1" s="10" t="str">
        <f>CONCATENATE("Eigenschappen bij zaaktype ",Zaaktype!B3,": ",Zaaktype!B4)</f>
        <v>Eigenschappen bij zaaktype 17: Ambtshalve beschikken</v>
      </c>
      <c r="B1" s="12"/>
      <c r="C1" s="12"/>
      <c r="D1" s="12"/>
      <c r="E1" s="12"/>
      <c r="F1" s="12"/>
      <c r="G1" s="12"/>
      <c r="H1" s="12"/>
      <c r="I1" s="12"/>
    </row>
    <row r="2" spans="1:9" ht="25.5" x14ac:dyDescent="0.2">
      <c r="A2" s="3" t="s">
        <v>251</v>
      </c>
      <c r="B2" s="3" t="s">
        <v>252</v>
      </c>
      <c r="C2" s="3" t="s">
        <v>253</v>
      </c>
      <c r="D2" s="3" t="s">
        <v>254</v>
      </c>
      <c r="E2" s="3" t="s">
        <v>255</v>
      </c>
      <c r="F2" s="3" t="s">
        <v>256</v>
      </c>
      <c r="G2" s="3" t="s">
        <v>257</v>
      </c>
      <c r="H2" s="3" t="s">
        <v>60</v>
      </c>
      <c r="I2" s="3" t="s">
        <v>64</v>
      </c>
    </row>
    <row r="3" spans="1:9" ht="129.75" customHeight="1" x14ac:dyDescent="0.2">
      <c r="A3" s="2" t="s">
        <v>258</v>
      </c>
      <c r="B3" s="2" t="s">
        <v>259</v>
      </c>
      <c r="D3" s="2" t="s">
        <v>260</v>
      </c>
      <c r="H3" s="2" t="s">
        <v>261</v>
      </c>
      <c r="I3" s="20">
        <v>44530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G24"/>
  <sheetViews>
    <sheetView workbookViewId="0">
      <pane xSplit="3" ySplit="2" topLeftCell="D3" activePane="bottomRight" state="frozen"/>
      <selection pane="topRight"/>
      <selection pane="bottomLeft"/>
      <selection pane="bottomRight" activeCell="A26" sqref="A26"/>
    </sheetView>
  </sheetViews>
  <sheetFormatPr defaultColWidth="8.75" defaultRowHeight="12.75" x14ac:dyDescent="0.2"/>
  <cols>
    <col min="1" max="1" width="14.75" style="2" customWidth="1"/>
    <col min="2" max="2" width="12.25" style="2" customWidth="1"/>
    <col min="3" max="3" width="32.25" style="2" customWidth="1"/>
    <col min="4" max="1021" width="39.125" style="2" customWidth="1"/>
    <col min="1022" max="16384" width="8.75" style="8"/>
  </cols>
  <sheetData>
    <row r="1" spans="1:1021" s="21" customFormat="1" x14ac:dyDescent="0.2">
      <c r="A1" s="10" t="str">
        <f>CONCATENATE("Informatieobjecttypen bij zaaktype ",Zaaktype!B3,": ",Zaaktype!B4)</f>
        <v>Informatieobjecttypen bij zaaktype 17: Ambtshalve beschikken</v>
      </c>
      <c r="B1" s="12"/>
      <c r="C1" s="12"/>
    </row>
    <row r="2" spans="1:1021" x14ac:dyDescent="0.2">
      <c r="A2" s="3" t="s">
        <v>262</v>
      </c>
      <c r="B2" s="3" t="s">
        <v>263</v>
      </c>
      <c r="C2" s="3" t="s">
        <v>264</v>
      </c>
    </row>
    <row r="3" spans="1:1021" x14ac:dyDescent="0.2">
      <c r="A3" s="2">
        <v>1</v>
      </c>
      <c r="B3" s="2" t="s">
        <v>265</v>
      </c>
      <c r="C3" s="2" t="s">
        <v>266</v>
      </c>
    </row>
    <row r="4" spans="1:1021" s="18" customFormat="1" x14ac:dyDescent="0.2">
      <c r="A4" s="2">
        <v>2</v>
      </c>
      <c r="B4" s="2" t="s">
        <v>267</v>
      </c>
      <c r="C4" s="2" t="s">
        <v>268</v>
      </c>
    </row>
    <row r="5" spans="1:1021" x14ac:dyDescent="0.2">
      <c r="A5" s="9">
        <v>3</v>
      </c>
      <c r="B5" s="9" t="s">
        <v>265</v>
      </c>
      <c r="C5" s="9" t="s">
        <v>269</v>
      </c>
    </row>
    <row r="6" spans="1:1021" x14ac:dyDescent="0.2">
      <c r="A6" s="2">
        <v>4</v>
      </c>
      <c r="B6" s="2" t="s">
        <v>265</v>
      </c>
      <c r="C6" s="2" t="s">
        <v>270</v>
      </c>
    </row>
    <row r="7" spans="1:1021" x14ac:dyDescent="0.2">
      <c r="A7" s="2">
        <v>5</v>
      </c>
      <c r="B7" s="2" t="s">
        <v>14</v>
      </c>
      <c r="C7" s="2" t="s">
        <v>270</v>
      </c>
    </row>
    <row r="8" spans="1:1021" x14ac:dyDescent="0.2">
      <c r="A8" s="2">
        <v>6</v>
      </c>
      <c r="B8" s="2" t="s">
        <v>267</v>
      </c>
      <c r="C8" s="2" t="s">
        <v>271</v>
      </c>
    </row>
    <row r="9" spans="1:1021" x14ac:dyDescent="0.2">
      <c r="A9" s="2">
        <v>7</v>
      </c>
      <c r="B9" s="2" t="s">
        <v>14</v>
      </c>
      <c r="C9" s="2" t="s">
        <v>271</v>
      </c>
    </row>
    <row r="10" spans="1:1021" x14ac:dyDescent="0.2">
      <c r="A10" s="9">
        <v>8</v>
      </c>
      <c r="B10" s="9" t="s">
        <v>265</v>
      </c>
      <c r="C10" s="9" t="s">
        <v>272</v>
      </c>
    </row>
    <row r="11" spans="1:1021" s="31" customFormat="1" x14ac:dyDescent="0.2">
      <c r="A11" s="9">
        <v>9</v>
      </c>
      <c r="B11" s="9" t="s">
        <v>267</v>
      </c>
      <c r="C11" s="9" t="s">
        <v>273</v>
      </c>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c r="IT11" s="30"/>
      <c r="IU11" s="30"/>
      <c r="IV11" s="30"/>
      <c r="IW11" s="30"/>
      <c r="IX11" s="30"/>
      <c r="IY11" s="30"/>
      <c r="IZ11" s="30"/>
      <c r="JA11" s="30"/>
      <c r="JB11" s="30"/>
      <c r="JC11" s="30"/>
      <c r="JD11" s="30"/>
      <c r="JE11" s="30"/>
      <c r="JF11" s="30"/>
      <c r="JG11" s="30"/>
      <c r="JH11" s="30"/>
      <c r="JI11" s="30"/>
      <c r="JJ11" s="30"/>
      <c r="JK11" s="30"/>
      <c r="JL11" s="30"/>
      <c r="JM11" s="30"/>
      <c r="JN11" s="30"/>
      <c r="JO11" s="30"/>
      <c r="JP11" s="30"/>
      <c r="JQ11" s="30"/>
      <c r="JR11" s="30"/>
      <c r="JS11" s="30"/>
      <c r="JT11" s="30"/>
      <c r="JU11" s="30"/>
      <c r="JV11" s="30"/>
      <c r="JW11" s="30"/>
      <c r="JX11" s="30"/>
      <c r="JY11" s="30"/>
      <c r="JZ11" s="30"/>
      <c r="KA11" s="30"/>
      <c r="KB11" s="30"/>
      <c r="KC11" s="30"/>
      <c r="KD11" s="30"/>
      <c r="KE11" s="30"/>
      <c r="KF11" s="30"/>
      <c r="KG11" s="30"/>
      <c r="KH11" s="30"/>
      <c r="KI11" s="30"/>
      <c r="KJ11" s="30"/>
      <c r="KK11" s="30"/>
      <c r="KL11" s="30"/>
      <c r="KM11" s="30"/>
      <c r="KN11" s="30"/>
      <c r="KO11" s="30"/>
      <c r="KP11" s="30"/>
      <c r="KQ11" s="30"/>
      <c r="KR11" s="30"/>
      <c r="KS11" s="30"/>
      <c r="KT11" s="30"/>
      <c r="KU11" s="30"/>
      <c r="KV11" s="30"/>
      <c r="KW11" s="30"/>
      <c r="KX11" s="30"/>
      <c r="KY11" s="30"/>
      <c r="KZ11" s="30"/>
      <c r="LA11" s="30"/>
      <c r="LB11" s="30"/>
      <c r="LC11" s="30"/>
      <c r="LD11" s="30"/>
      <c r="LE11" s="30"/>
      <c r="LF11" s="30"/>
      <c r="LG11" s="30"/>
      <c r="LH11" s="30"/>
      <c r="LI11" s="30"/>
      <c r="LJ11" s="30"/>
      <c r="LK11" s="30"/>
      <c r="LL11" s="30"/>
      <c r="LM11" s="30"/>
      <c r="LN11" s="30"/>
      <c r="LO11" s="30"/>
      <c r="LP11" s="30"/>
      <c r="LQ11" s="30"/>
      <c r="LR11" s="30"/>
      <c r="LS11" s="30"/>
      <c r="LT11" s="30"/>
      <c r="LU11" s="30"/>
      <c r="LV11" s="30"/>
      <c r="LW11" s="30"/>
      <c r="LX11" s="30"/>
      <c r="LY11" s="30"/>
      <c r="LZ11" s="30"/>
      <c r="MA11" s="30"/>
      <c r="MB11" s="30"/>
      <c r="MC11" s="30"/>
      <c r="MD11" s="30"/>
      <c r="ME11" s="30"/>
      <c r="MF11" s="30"/>
      <c r="MG11" s="30"/>
      <c r="MH11" s="30"/>
      <c r="MI11" s="30"/>
      <c r="MJ11" s="30"/>
      <c r="MK11" s="30"/>
      <c r="ML11" s="30"/>
      <c r="MM11" s="30"/>
      <c r="MN11" s="30"/>
      <c r="MO11" s="30"/>
      <c r="MP11" s="30"/>
      <c r="MQ11" s="30"/>
      <c r="MR11" s="30"/>
      <c r="MS11" s="30"/>
      <c r="MT11" s="30"/>
      <c r="MU11" s="30"/>
      <c r="MV11" s="30"/>
      <c r="MW11" s="30"/>
      <c r="MX11" s="30"/>
      <c r="MY11" s="30"/>
      <c r="MZ11" s="30"/>
      <c r="NA11" s="30"/>
      <c r="NB11" s="30"/>
      <c r="NC11" s="30"/>
      <c r="ND11" s="30"/>
      <c r="NE11" s="30"/>
      <c r="NF11" s="30"/>
      <c r="NG11" s="30"/>
      <c r="NH11" s="30"/>
      <c r="NI11" s="30"/>
      <c r="NJ11" s="30"/>
      <c r="NK11" s="30"/>
      <c r="NL11" s="30"/>
      <c r="NM11" s="30"/>
      <c r="NN11" s="30"/>
      <c r="NO11" s="30"/>
      <c r="NP11" s="30"/>
      <c r="NQ11" s="30"/>
      <c r="NR11" s="30"/>
      <c r="NS11" s="30"/>
      <c r="NT11" s="30"/>
      <c r="NU11" s="30"/>
      <c r="NV11" s="30"/>
      <c r="NW11" s="30"/>
      <c r="NX11" s="30"/>
      <c r="NY11" s="30"/>
      <c r="NZ11" s="30"/>
      <c r="OA11" s="30"/>
      <c r="OB11" s="30"/>
      <c r="OC11" s="30"/>
      <c r="OD11" s="30"/>
      <c r="OE11" s="30"/>
      <c r="OF11" s="30"/>
      <c r="OG11" s="30"/>
      <c r="OH11" s="30"/>
      <c r="OI11" s="30"/>
      <c r="OJ11" s="30"/>
      <c r="OK11" s="30"/>
      <c r="OL11" s="30"/>
      <c r="OM11" s="30"/>
      <c r="ON11" s="30"/>
      <c r="OO11" s="30"/>
      <c r="OP11" s="30"/>
      <c r="OQ11" s="30"/>
      <c r="OR11" s="30"/>
      <c r="OS11" s="30"/>
      <c r="OT11" s="30"/>
      <c r="OU11" s="30"/>
      <c r="OV11" s="30"/>
      <c r="OW11" s="30"/>
      <c r="OX11" s="30"/>
      <c r="OY11" s="30"/>
      <c r="OZ11" s="30"/>
      <c r="PA11" s="30"/>
      <c r="PB11" s="30"/>
      <c r="PC11" s="30"/>
      <c r="PD11" s="30"/>
      <c r="PE11" s="30"/>
      <c r="PF11" s="30"/>
      <c r="PG11" s="30"/>
      <c r="PH11" s="30"/>
      <c r="PI11" s="30"/>
      <c r="PJ11" s="30"/>
      <c r="PK11" s="30"/>
      <c r="PL11" s="30"/>
      <c r="PM11" s="30"/>
      <c r="PN11" s="30"/>
      <c r="PO11" s="30"/>
      <c r="PP11" s="30"/>
      <c r="PQ11" s="30"/>
      <c r="PR11" s="30"/>
      <c r="PS11" s="30"/>
      <c r="PT11" s="30"/>
      <c r="PU11" s="30"/>
      <c r="PV11" s="30"/>
      <c r="PW11" s="30"/>
      <c r="PX11" s="30"/>
      <c r="PY11" s="30"/>
      <c r="PZ11" s="30"/>
      <c r="QA11" s="30"/>
      <c r="QB11" s="30"/>
      <c r="QC11" s="30"/>
      <c r="QD11" s="30"/>
      <c r="QE11" s="30"/>
      <c r="QF11" s="30"/>
      <c r="QG11" s="30"/>
      <c r="QH11" s="30"/>
      <c r="QI11" s="30"/>
      <c r="QJ11" s="30"/>
      <c r="QK11" s="30"/>
      <c r="QL11" s="30"/>
      <c r="QM11" s="30"/>
      <c r="QN11" s="30"/>
      <c r="QO11" s="30"/>
      <c r="QP11" s="30"/>
      <c r="QQ11" s="30"/>
      <c r="QR11" s="30"/>
      <c r="QS11" s="30"/>
      <c r="QT11" s="30"/>
      <c r="QU11" s="30"/>
      <c r="QV11" s="30"/>
      <c r="QW11" s="30"/>
      <c r="QX11" s="30"/>
      <c r="QY11" s="30"/>
      <c r="QZ11" s="30"/>
      <c r="RA11" s="30"/>
      <c r="RB11" s="30"/>
      <c r="RC11" s="30"/>
      <c r="RD11" s="30"/>
      <c r="RE11" s="30"/>
      <c r="RF11" s="30"/>
      <c r="RG11" s="30"/>
      <c r="RH11" s="30"/>
      <c r="RI11" s="30"/>
      <c r="RJ11" s="30"/>
      <c r="RK11" s="30"/>
      <c r="RL11" s="30"/>
      <c r="RM11" s="30"/>
      <c r="RN11" s="30"/>
      <c r="RO11" s="30"/>
      <c r="RP11" s="30"/>
      <c r="RQ11" s="30"/>
      <c r="RR11" s="30"/>
      <c r="RS11" s="30"/>
      <c r="RT11" s="30"/>
      <c r="RU11" s="30"/>
      <c r="RV11" s="30"/>
      <c r="RW11" s="30"/>
      <c r="RX11" s="30"/>
      <c r="RY11" s="30"/>
      <c r="RZ11" s="30"/>
      <c r="SA11" s="30"/>
      <c r="SB11" s="30"/>
      <c r="SC11" s="30"/>
      <c r="SD11" s="30"/>
      <c r="SE11" s="30"/>
      <c r="SF11" s="30"/>
      <c r="SG11" s="30"/>
      <c r="SH11" s="30"/>
      <c r="SI11" s="30"/>
      <c r="SJ11" s="30"/>
      <c r="SK11" s="30"/>
      <c r="SL11" s="30"/>
      <c r="SM11" s="30"/>
      <c r="SN11" s="30"/>
      <c r="SO11" s="30"/>
      <c r="SP11" s="30"/>
      <c r="SQ11" s="30"/>
      <c r="SR11" s="30"/>
      <c r="SS11" s="30"/>
      <c r="ST11" s="30"/>
      <c r="SU11" s="30"/>
      <c r="SV11" s="30"/>
      <c r="SW11" s="30"/>
      <c r="SX11" s="30"/>
      <c r="SY11" s="30"/>
      <c r="SZ11" s="30"/>
      <c r="TA11" s="30"/>
      <c r="TB11" s="30"/>
      <c r="TC11" s="30"/>
      <c r="TD11" s="30"/>
      <c r="TE11" s="30"/>
      <c r="TF11" s="30"/>
      <c r="TG11" s="30"/>
      <c r="TH11" s="30"/>
      <c r="TI11" s="30"/>
      <c r="TJ11" s="30"/>
      <c r="TK11" s="30"/>
      <c r="TL11" s="30"/>
      <c r="TM11" s="30"/>
      <c r="TN11" s="30"/>
      <c r="TO11" s="30"/>
      <c r="TP11" s="30"/>
      <c r="TQ11" s="30"/>
      <c r="TR11" s="30"/>
      <c r="TS11" s="30"/>
      <c r="TT11" s="30"/>
      <c r="TU11" s="30"/>
      <c r="TV11" s="30"/>
      <c r="TW11" s="30"/>
      <c r="TX11" s="30"/>
      <c r="TY11" s="30"/>
      <c r="TZ11" s="30"/>
      <c r="UA11" s="30"/>
      <c r="UB11" s="30"/>
      <c r="UC11" s="30"/>
      <c r="UD11" s="30"/>
      <c r="UE11" s="30"/>
      <c r="UF11" s="30"/>
      <c r="UG11" s="30"/>
      <c r="UH11" s="30"/>
      <c r="UI11" s="30"/>
      <c r="UJ11" s="30"/>
      <c r="UK11" s="30"/>
      <c r="UL11" s="30"/>
      <c r="UM11" s="30"/>
      <c r="UN11" s="30"/>
      <c r="UO11" s="30"/>
      <c r="UP11" s="30"/>
      <c r="UQ11" s="30"/>
      <c r="UR11" s="30"/>
      <c r="US11" s="30"/>
      <c r="UT11" s="30"/>
      <c r="UU11" s="30"/>
      <c r="UV11" s="30"/>
      <c r="UW11" s="30"/>
      <c r="UX11" s="30"/>
      <c r="UY11" s="30"/>
      <c r="UZ11" s="30"/>
      <c r="VA11" s="30"/>
      <c r="VB11" s="30"/>
      <c r="VC11" s="30"/>
      <c r="VD11" s="30"/>
      <c r="VE11" s="30"/>
      <c r="VF11" s="30"/>
      <c r="VG11" s="30"/>
      <c r="VH11" s="30"/>
      <c r="VI11" s="30"/>
      <c r="VJ11" s="30"/>
      <c r="VK11" s="30"/>
      <c r="VL11" s="30"/>
      <c r="VM11" s="30"/>
      <c r="VN11" s="30"/>
      <c r="VO11" s="30"/>
      <c r="VP11" s="30"/>
      <c r="VQ11" s="30"/>
      <c r="VR11" s="30"/>
      <c r="VS11" s="30"/>
      <c r="VT11" s="30"/>
      <c r="VU11" s="30"/>
      <c r="VV11" s="30"/>
      <c r="VW11" s="30"/>
      <c r="VX11" s="30"/>
      <c r="VY11" s="30"/>
      <c r="VZ11" s="30"/>
      <c r="WA11" s="30"/>
      <c r="WB11" s="30"/>
      <c r="WC11" s="30"/>
      <c r="WD11" s="30"/>
      <c r="WE11" s="30"/>
      <c r="WF11" s="30"/>
      <c r="WG11" s="30"/>
      <c r="WH11" s="30"/>
      <c r="WI11" s="30"/>
      <c r="WJ11" s="30"/>
      <c r="WK11" s="30"/>
      <c r="WL11" s="30"/>
      <c r="WM11" s="30"/>
      <c r="WN11" s="30"/>
      <c r="WO11" s="30"/>
      <c r="WP11" s="30"/>
      <c r="WQ11" s="30"/>
      <c r="WR11" s="30"/>
      <c r="WS11" s="30"/>
      <c r="WT11" s="30"/>
      <c r="WU11" s="30"/>
      <c r="WV11" s="30"/>
      <c r="WW11" s="30"/>
      <c r="WX11" s="30"/>
      <c r="WY11" s="30"/>
      <c r="WZ11" s="30"/>
      <c r="XA11" s="30"/>
      <c r="XB11" s="30"/>
      <c r="XC11" s="30"/>
      <c r="XD11" s="30"/>
      <c r="XE11" s="30"/>
      <c r="XF11" s="30"/>
      <c r="XG11" s="30"/>
      <c r="XH11" s="30"/>
      <c r="XI11" s="30"/>
      <c r="XJ11" s="30"/>
      <c r="XK11" s="30"/>
      <c r="XL11" s="30"/>
      <c r="XM11" s="30"/>
      <c r="XN11" s="30"/>
      <c r="XO11" s="30"/>
      <c r="XP11" s="30"/>
      <c r="XQ11" s="30"/>
      <c r="XR11" s="30"/>
      <c r="XS11" s="30"/>
      <c r="XT11" s="30"/>
      <c r="XU11" s="30"/>
      <c r="XV11" s="30"/>
      <c r="XW11" s="30"/>
      <c r="XX11" s="30"/>
      <c r="XY11" s="30"/>
      <c r="XZ11" s="30"/>
      <c r="YA11" s="30"/>
      <c r="YB11" s="30"/>
      <c r="YC11" s="30"/>
      <c r="YD11" s="30"/>
      <c r="YE11" s="30"/>
      <c r="YF11" s="30"/>
      <c r="YG11" s="30"/>
      <c r="YH11" s="30"/>
      <c r="YI11" s="30"/>
      <c r="YJ11" s="30"/>
      <c r="YK11" s="30"/>
      <c r="YL11" s="30"/>
      <c r="YM11" s="30"/>
      <c r="YN11" s="30"/>
      <c r="YO11" s="30"/>
      <c r="YP11" s="30"/>
      <c r="YQ11" s="30"/>
      <c r="YR11" s="30"/>
      <c r="YS11" s="30"/>
      <c r="YT11" s="30"/>
      <c r="YU11" s="30"/>
      <c r="YV11" s="30"/>
      <c r="YW11" s="30"/>
      <c r="YX11" s="30"/>
      <c r="YY11" s="30"/>
      <c r="YZ11" s="30"/>
      <c r="ZA11" s="30"/>
      <c r="ZB11" s="30"/>
      <c r="ZC11" s="30"/>
      <c r="ZD11" s="30"/>
      <c r="ZE11" s="30"/>
      <c r="ZF11" s="30"/>
      <c r="ZG11" s="30"/>
      <c r="ZH11" s="30"/>
      <c r="ZI11" s="30"/>
      <c r="ZJ11" s="30"/>
      <c r="ZK11" s="30"/>
      <c r="ZL11" s="30"/>
      <c r="ZM11" s="30"/>
      <c r="ZN11" s="30"/>
      <c r="ZO11" s="30"/>
      <c r="ZP11" s="30"/>
      <c r="ZQ11" s="30"/>
      <c r="ZR11" s="30"/>
      <c r="ZS11" s="30"/>
      <c r="ZT11" s="30"/>
      <c r="ZU11" s="30"/>
      <c r="ZV11" s="30"/>
      <c r="ZW11" s="30"/>
      <c r="ZX11" s="30"/>
      <c r="ZY11" s="30"/>
      <c r="ZZ11" s="30"/>
      <c r="AAA11" s="30"/>
      <c r="AAB11" s="30"/>
      <c r="AAC11" s="30"/>
      <c r="AAD11" s="30"/>
      <c r="AAE11" s="30"/>
      <c r="AAF11" s="30"/>
      <c r="AAG11" s="30"/>
      <c r="AAH11" s="30"/>
      <c r="AAI11" s="30"/>
      <c r="AAJ11" s="30"/>
      <c r="AAK11" s="30"/>
      <c r="AAL11" s="30"/>
      <c r="AAM11" s="30"/>
      <c r="AAN11" s="30"/>
      <c r="AAO11" s="30"/>
      <c r="AAP11" s="30"/>
      <c r="AAQ11" s="30"/>
      <c r="AAR11" s="30"/>
      <c r="AAS11" s="30"/>
      <c r="AAT11" s="30"/>
      <c r="AAU11" s="30"/>
      <c r="AAV11" s="30"/>
      <c r="AAW11" s="30"/>
      <c r="AAX11" s="30"/>
      <c r="AAY11" s="30"/>
      <c r="AAZ11" s="30"/>
      <c r="ABA11" s="30"/>
      <c r="ABB11" s="30"/>
      <c r="ABC11" s="30"/>
      <c r="ABD11" s="30"/>
      <c r="ABE11" s="30"/>
      <c r="ABF11" s="30"/>
      <c r="ABG11" s="30"/>
      <c r="ABH11" s="30"/>
      <c r="ABI11" s="30"/>
      <c r="ABJ11" s="30"/>
      <c r="ABK11" s="30"/>
      <c r="ABL11" s="30"/>
      <c r="ABM11" s="30"/>
      <c r="ABN11" s="30"/>
      <c r="ABO11" s="30"/>
      <c r="ABP11" s="30"/>
      <c r="ABQ11" s="30"/>
      <c r="ABR11" s="30"/>
      <c r="ABS11" s="30"/>
      <c r="ABT11" s="30"/>
      <c r="ABU11" s="30"/>
      <c r="ABV11" s="30"/>
      <c r="ABW11" s="30"/>
      <c r="ABX11" s="30"/>
      <c r="ABY11" s="30"/>
      <c r="ABZ11" s="30"/>
      <c r="ACA11" s="30"/>
      <c r="ACB11" s="30"/>
      <c r="ACC11" s="30"/>
      <c r="ACD11" s="30"/>
      <c r="ACE11" s="30"/>
      <c r="ACF11" s="30"/>
      <c r="ACG11" s="30"/>
      <c r="ACH11" s="30"/>
      <c r="ACI11" s="30"/>
      <c r="ACJ11" s="30"/>
      <c r="ACK11" s="30"/>
      <c r="ACL11" s="30"/>
      <c r="ACM11" s="30"/>
      <c r="ACN11" s="30"/>
      <c r="ACO11" s="30"/>
      <c r="ACP11" s="30"/>
      <c r="ACQ11" s="30"/>
      <c r="ACR11" s="30"/>
      <c r="ACS11" s="30"/>
      <c r="ACT11" s="30"/>
      <c r="ACU11" s="30"/>
      <c r="ACV11" s="30"/>
      <c r="ACW11" s="30"/>
      <c r="ACX11" s="30"/>
      <c r="ACY11" s="30"/>
      <c r="ACZ11" s="30"/>
      <c r="ADA11" s="30"/>
      <c r="ADB11" s="30"/>
      <c r="ADC11" s="30"/>
      <c r="ADD11" s="30"/>
      <c r="ADE11" s="30"/>
      <c r="ADF11" s="30"/>
      <c r="ADG11" s="30"/>
      <c r="ADH11" s="30"/>
      <c r="ADI11" s="30"/>
      <c r="ADJ11" s="30"/>
      <c r="ADK11" s="30"/>
      <c r="ADL11" s="30"/>
      <c r="ADM11" s="30"/>
      <c r="ADN11" s="30"/>
      <c r="ADO11" s="30"/>
      <c r="ADP11" s="30"/>
      <c r="ADQ11" s="30"/>
      <c r="ADR11" s="30"/>
      <c r="ADS11" s="30"/>
      <c r="ADT11" s="30"/>
      <c r="ADU11" s="30"/>
      <c r="ADV11" s="30"/>
      <c r="ADW11" s="30"/>
      <c r="ADX11" s="30"/>
      <c r="ADY11" s="30"/>
      <c r="ADZ11" s="30"/>
      <c r="AEA11" s="30"/>
      <c r="AEB11" s="30"/>
      <c r="AEC11" s="30"/>
      <c r="AED11" s="30"/>
      <c r="AEE11" s="30"/>
      <c r="AEF11" s="30"/>
      <c r="AEG11" s="30"/>
      <c r="AEH11" s="30"/>
      <c r="AEI11" s="30"/>
      <c r="AEJ11" s="30"/>
      <c r="AEK11" s="30"/>
      <c r="AEL11" s="30"/>
      <c r="AEM11" s="30"/>
      <c r="AEN11" s="30"/>
      <c r="AEO11" s="30"/>
      <c r="AEP11" s="30"/>
      <c r="AEQ11" s="30"/>
      <c r="AER11" s="30"/>
      <c r="AES11" s="30"/>
      <c r="AET11" s="30"/>
      <c r="AEU11" s="30"/>
      <c r="AEV11" s="30"/>
      <c r="AEW11" s="30"/>
      <c r="AEX11" s="30"/>
      <c r="AEY11" s="30"/>
      <c r="AEZ11" s="30"/>
      <c r="AFA11" s="30"/>
      <c r="AFB11" s="30"/>
      <c r="AFC11" s="30"/>
      <c r="AFD11" s="30"/>
      <c r="AFE11" s="30"/>
      <c r="AFF11" s="30"/>
      <c r="AFG11" s="30"/>
      <c r="AFH11" s="30"/>
      <c r="AFI11" s="30"/>
      <c r="AFJ11" s="30"/>
      <c r="AFK11" s="30"/>
      <c r="AFL11" s="30"/>
      <c r="AFM11" s="30"/>
      <c r="AFN11" s="30"/>
      <c r="AFO11" s="30"/>
      <c r="AFP11" s="30"/>
      <c r="AFQ11" s="30"/>
      <c r="AFR11" s="30"/>
      <c r="AFS11" s="30"/>
      <c r="AFT11" s="30"/>
      <c r="AFU11" s="30"/>
      <c r="AFV11" s="30"/>
      <c r="AFW11" s="30"/>
      <c r="AFX11" s="30"/>
      <c r="AFY11" s="30"/>
      <c r="AFZ11" s="30"/>
      <c r="AGA11" s="30"/>
      <c r="AGB11" s="30"/>
      <c r="AGC11" s="30"/>
      <c r="AGD11" s="30"/>
      <c r="AGE11" s="30"/>
      <c r="AGF11" s="30"/>
      <c r="AGG11" s="30"/>
      <c r="AGH11" s="30"/>
      <c r="AGI11" s="30"/>
      <c r="AGJ11" s="30"/>
      <c r="AGK11" s="30"/>
      <c r="AGL11" s="30"/>
      <c r="AGM11" s="30"/>
      <c r="AGN11" s="30"/>
      <c r="AGO11" s="30"/>
      <c r="AGP11" s="30"/>
      <c r="AGQ11" s="30"/>
      <c r="AGR11" s="30"/>
      <c r="AGS11" s="30"/>
      <c r="AGT11" s="30"/>
      <c r="AGU11" s="30"/>
      <c r="AGV11" s="30"/>
      <c r="AGW11" s="30"/>
      <c r="AGX11" s="30"/>
      <c r="AGY11" s="30"/>
      <c r="AGZ11" s="30"/>
      <c r="AHA11" s="30"/>
      <c r="AHB11" s="30"/>
      <c r="AHC11" s="30"/>
      <c r="AHD11" s="30"/>
      <c r="AHE11" s="30"/>
      <c r="AHF11" s="30"/>
      <c r="AHG11" s="30"/>
      <c r="AHH11" s="30"/>
      <c r="AHI11" s="30"/>
      <c r="AHJ11" s="30"/>
      <c r="AHK11" s="30"/>
      <c r="AHL11" s="30"/>
      <c r="AHM11" s="30"/>
      <c r="AHN11" s="30"/>
      <c r="AHO11" s="30"/>
      <c r="AHP11" s="30"/>
      <c r="AHQ11" s="30"/>
      <c r="AHR11" s="30"/>
      <c r="AHS11" s="30"/>
      <c r="AHT11" s="30"/>
      <c r="AHU11" s="30"/>
      <c r="AHV11" s="30"/>
      <c r="AHW11" s="30"/>
      <c r="AHX11" s="30"/>
      <c r="AHY11" s="30"/>
      <c r="AHZ11" s="30"/>
      <c r="AIA11" s="30"/>
      <c r="AIB11" s="30"/>
      <c r="AIC11" s="30"/>
      <c r="AID11" s="30"/>
      <c r="AIE11" s="30"/>
      <c r="AIF11" s="30"/>
      <c r="AIG11" s="30"/>
      <c r="AIH11" s="30"/>
      <c r="AII11" s="30"/>
      <c r="AIJ11" s="30"/>
      <c r="AIK11" s="30"/>
      <c r="AIL11" s="30"/>
      <c r="AIM11" s="30"/>
      <c r="AIN11" s="30"/>
      <c r="AIO11" s="30"/>
      <c r="AIP11" s="30"/>
      <c r="AIQ11" s="30"/>
      <c r="AIR11" s="30"/>
      <c r="AIS11" s="30"/>
      <c r="AIT11" s="30"/>
      <c r="AIU11" s="30"/>
      <c r="AIV11" s="30"/>
      <c r="AIW11" s="30"/>
      <c r="AIX11" s="30"/>
      <c r="AIY11" s="30"/>
      <c r="AIZ11" s="30"/>
      <c r="AJA11" s="30"/>
      <c r="AJB11" s="30"/>
      <c r="AJC11" s="30"/>
      <c r="AJD11" s="30"/>
      <c r="AJE11" s="30"/>
      <c r="AJF11" s="30"/>
      <c r="AJG11" s="30"/>
      <c r="AJH11" s="30"/>
      <c r="AJI11" s="30"/>
      <c r="AJJ11" s="30"/>
      <c r="AJK11" s="30"/>
      <c r="AJL11" s="30"/>
      <c r="AJM11" s="30"/>
      <c r="AJN11" s="30"/>
      <c r="AJO11" s="30"/>
      <c r="AJP11" s="30"/>
      <c r="AJQ11" s="30"/>
      <c r="AJR11" s="30"/>
      <c r="AJS11" s="30"/>
      <c r="AJT11" s="30"/>
      <c r="AJU11" s="30"/>
      <c r="AJV11" s="30"/>
      <c r="AJW11" s="30"/>
      <c r="AJX11" s="30"/>
      <c r="AJY11" s="30"/>
      <c r="AJZ11" s="30"/>
      <c r="AKA11" s="30"/>
      <c r="AKB11" s="30"/>
      <c r="AKC11" s="30"/>
      <c r="AKD11" s="30"/>
      <c r="AKE11" s="30"/>
      <c r="AKF11" s="30"/>
      <c r="AKG11" s="30"/>
      <c r="AKH11" s="30"/>
      <c r="AKI11" s="30"/>
      <c r="AKJ11" s="30"/>
      <c r="AKK11" s="30"/>
      <c r="AKL11" s="30"/>
      <c r="AKM11" s="30"/>
      <c r="AKN11" s="30"/>
      <c r="AKO11" s="30"/>
      <c r="AKP11" s="30"/>
      <c r="AKQ11" s="30"/>
      <c r="AKR11" s="30"/>
      <c r="AKS11" s="30"/>
      <c r="AKT11" s="30"/>
      <c r="AKU11" s="30"/>
      <c r="AKV11" s="30"/>
      <c r="AKW11" s="30"/>
      <c r="AKX11" s="30"/>
      <c r="AKY11" s="30"/>
      <c r="AKZ11" s="30"/>
      <c r="ALA11" s="30"/>
      <c r="ALB11" s="30"/>
      <c r="ALC11" s="30"/>
      <c r="ALD11" s="30"/>
      <c r="ALE11" s="30"/>
      <c r="ALF11" s="30"/>
      <c r="ALG11" s="30"/>
      <c r="ALH11" s="30"/>
      <c r="ALI11" s="30"/>
      <c r="ALJ11" s="30"/>
      <c r="ALK11" s="30"/>
      <c r="ALL11" s="30"/>
      <c r="ALM11" s="30"/>
      <c r="ALN11" s="30"/>
      <c r="ALO11" s="30"/>
      <c r="ALP11" s="30"/>
      <c r="ALQ11" s="30"/>
      <c r="ALR11" s="30"/>
      <c r="ALS11" s="30"/>
      <c r="ALT11" s="30"/>
      <c r="ALU11" s="30"/>
      <c r="ALV11" s="30"/>
      <c r="ALW11" s="30"/>
      <c r="ALX11" s="30"/>
      <c r="ALY11" s="30"/>
      <c r="ALZ11" s="30"/>
      <c r="AMA11" s="30"/>
      <c r="AMB11" s="30"/>
      <c r="AMC11" s="30"/>
      <c r="AMD11" s="30"/>
      <c r="AME11" s="30"/>
      <c r="AMF11" s="30"/>
      <c r="AMG11" s="30"/>
    </row>
    <row r="12" spans="1:1021" s="31" customFormat="1" x14ac:dyDescent="0.2">
      <c r="A12" s="9">
        <v>10</v>
      </c>
      <c r="B12" s="9" t="s">
        <v>265</v>
      </c>
      <c r="C12" s="9" t="s">
        <v>274</v>
      </c>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c r="KQ12" s="30"/>
      <c r="KR12" s="30"/>
      <c r="KS12" s="30"/>
      <c r="KT12" s="30"/>
      <c r="KU12" s="30"/>
      <c r="KV12" s="30"/>
      <c r="KW12" s="30"/>
      <c r="KX12" s="30"/>
      <c r="KY12" s="30"/>
      <c r="KZ12" s="30"/>
      <c r="LA12" s="30"/>
      <c r="LB12" s="30"/>
      <c r="LC12" s="30"/>
      <c r="LD12" s="30"/>
      <c r="LE12" s="30"/>
      <c r="LF12" s="30"/>
      <c r="LG12" s="30"/>
      <c r="LH12" s="30"/>
      <c r="LI12" s="30"/>
      <c r="LJ12" s="30"/>
      <c r="LK12" s="30"/>
      <c r="LL12" s="30"/>
      <c r="LM12" s="30"/>
      <c r="LN12" s="30"/>
      <c r="LO12" s="30"/>
      <c r="LP12" s="30"/>
      <c r="LQ12" s="30"/>
      <c r="LR12" s="30"/>
      <c r="LS12" s="30"/>
      <c r="LT12" s="30"/>
      <c r="LU12" s="30"/>
      <c r="LV12" s="30"/>
      <c r="LW12" s="30"/>
      <c r="LX12" s="30"/>
      <c r="LY12" s="30"/>
      <c r="LZ12" s="30"/>
      <c r="MA12" s="30"/>
      <c r="MB12" s="30"/>
      <c r="MC12" s="30"/>
      <c r="MD12" s="30"/>
      <c r="ME12" s="30"/>
      <c r="MF12" s="30"/>
      <c r="MG12" s="30"/>
      <c r="MH12" s="30"/>
      <c r="MI12" s="30"/>
      <c r="MJ12" s="30"/>
      <c r="MK12" s="30"/>
      <c r="ML12" s="30"/>
      <c r="MM12" s="30"/>
      <c r="MN12" s="30"/>
      <c r="MO12" s="30"/>
      <c r="MP12" s="30"/>
      <c r="MQ12" s="30"/>
      <c r="MR12" s="30"/>
      <c r="MS12" s="30"/>
      <c r="MT12" s="30"/>
      <c r="MU12" s="30"/>
      <c r="MV12" s="30"/>
      <c r="MW12" s="30"/>
      <c r="MX12" s="30"/>
      <c r="MY12" s="30"/>
      <c r="MZ12" s="30"/>
      <c r="NA12" s="30"/>
      <c r="NB12" s="30"/>
      <c r="NC12" s="30"/>
      <c r="ND12" s="30"/>
      <c r="NE12" s="30"/>
      <c r="NF12" s="30"/>
      <c r="NG12" s="30"/>
      <c r="NH12" s="30"/>
      <c r="NI12" s="30"/>
      <c r="NJ12" s="30"/>
      <c r="NK12" s="30"/>
      <c r="NL12" s="30"/>
      <c r="NM12" s="30"/>
      <c r="NN12" s="30"/>
      <c r="NO12" s="30"/>
      <c r="NP12" s="30"/>
      <c r="NQ12" s="30"/>
      <c r="NR12" s="30"/>
      <c r="NS12" s="30"/>
      <c r="NT12" s="30"/>
      <c r="NU12" s="30"/>
      <c r="NV12" s="30"/>
      <c r="NW12" s="30"/>
      <c r="NX12" s="30"/>
      <c r="NY12" s="30"/>
      <c r="NZ12" s="30"/>
      <c r="OA12" s="30"/>
      <c r="OB12" s="30"/>
      <c r="OC12" s="30"/>
      <c r="OD12" s="30"/>
      <c r="OE12" s="30"/>
      <c r="OF12" s="30"/>
      <c r="OG12" s="30"/>
      <c r="OH12" s="30"/>
      <c r="OI12" s="30"/>
      <c r="OJ12" s="30"/>
      <c r="OK12" s="30"/>
      <c r="OL12" s="30"/>
      <c r="OM12" s="30"/>
      <c r="ON12" s="30"/>
      <c r="OO12" s="30"/>
      <c r="OP12" s="30"/>
      <c r="OQ12" s="30"/>
      <c r="OR12" s="30"/>
      <c r="OS12" s="30"/>
      <c r="OT12" s="30"/>
      <c r="OU12" s="30"/>
      <c r="OV12" s="30"/>
      <c r="OW12" s="30"/>
      <c r="OX12" s="30"/>
      <c r="OY12" s="30"/>
      <c r="OZ12" s="30"/>
      <c r="PA12" s="30"/>
      <c r="PB12" s="30"/>
      <c r="PC12" s="30"/>
      <c r="PD12" s="30"/>
      <c r="PE12" s="30"/>
      <c r="PF12" s="30"/>
      <c r="PG12" s="30"/>
      <c r="PH12" s="30"/>
      <c r="PI12" s="30"/>
      <c r="PJ12" s="30"/>
      <c r="PK12" s="30"/>
      <c r="PL12" s="30"/>
      <c r="PM12" s="30"/>
      <c r="PN12" s="30"/>
      <c r="PO12" s="30"/>
      <c r="PP12" s="30"/>
      <c r="PQ12" s="30"/>
      <c r="PR12" s="30"/>
      <c r="PS12" s="30"/>
      <c r="PT12" s="30"/>
      <c r="PU12" s="30"/>
      <c r="PV12" s="30"/>
      <c r="PW12" s="30"/>
      <c r="PX12" s="30"/>
      <c r="PY12" s="30"/>
      <c r="PZ12" s="30"/>
      <c r="QA12" s="30"/>
      <c r="QB12" s="30"/>
      <c r="QC12" s="30"/>
      <c r="QD12" s="30"/>
      <c r="QE12" s="30"/>
      <c r="QF12" s="30"/>
      <c r="QG12" s="30"/>
      <c r="QH12" s="30"/>
      <c r="QI12" s="30"/>
      <c r="QJ12" s="30"/>
      <c r="QK12" s="30"/>
      <c r="QL12" s="30"/>
      <c r="QM12" s="30"/>
      <c r="QN12" s="30"/>
      <c r="QO12" s="30"/>
      <c r="QP12" s="30"/>
      <c r="QQ12" s="30"/>
      <c r="QR12" s="30"/>
      <c r="QS12" s="30"/>
      <c r="QT12" s="30"/>
      <c r="QU12" s="30"/>
      <c r="QV12" s="30"/>
      <c r="QW12" s="30"/>
      <c r="QX12" s="30"/>
      <c r="QY12" s="30"/>
      <c r="QZ12" s="30"/>
      <c r="RA12" s="30"/>
      <c r="RB12" s="30"/>
      <c r="RC12" s="30"/>
      <c r="RD12" s="30"/>
      <c r="RE12" s="30"/>
      <c r="RF12" s="30"/>
      <c r="RG12" s="30"/>
      <c r="RH12" s="30"/>
      <c r="RI12" s="30"/>
      <c r="RJ12" s="30"/>
      <c r="RK12" s="30"/>
      <c r="RL12" s="30"/>
      <c r="RM12" s="30"/>
      <c r="RN12" s="30"/>
      <c r="RO12" s="30"/>
      <c r="RP12" s="30"/>
      <c r="RQ12" s="30"/>
      <c r="RR12" s="30"/>
      <c r="RS12" s="30"/>
      <c r="RT12" s="30"/>
      <c r="RU12" s="30"/>
      <c r="RV12" s="30"/>
      <c r="RW12" s="30"/>
      <c r="RX12" s="30"/>
      <c r="RY12" s="30"/>
      <c r="RZ12" s="30"/>
      <c r="SA12" s="30"/>
      <c r="SB12" s="30"/>
      <c r="SC12" s="30"/>
      <c r="SD12" s="30"/>
      <c r="SE12" s="30"/>
      <c r="SF12" s="30"/>
      <c r="SG12" s="30"/>
      <c r="SH12" s="30"/>
      <c r="SI12" s="30"/>
      <c r="SJ12" s="30"/>
      <c r="SK12" s="30"/>
      <c r="SL12" s="30"/>
      <c r="SM12" s="30"/>
      <c r="SN12" s="30"/>
      <c r="SO12" s="30"/>
      <c r="SP12" s="30"/>
      <c r="SQ12" s="30"/>
      <c r="SR12" s="30"/>
      <c r="SS12" s="30"/>
      <c r="ST12" s="30"/>
      <c r="SU12" s="30"/>
      <c r="SV12" s="30"/>
      <c r="SW12" s="30"/>
      <c r="SX12" s="30"/>
      <c r="SY12" s="30"/>
      <c r="SZ12" s="30"/>
      <c r="TA12" s="30"/>
      <c r="TB12" s="30"/>
      <c r="TC12" s="30"/>
      <c r="TD12" s="30"/>
      <c r="TE12" s="30"/>
      <c r="TF12" s="30"/>
      <c r="TG12" s="30"/>
      <c r="TH12" s="30"/>
      <c r="TI12" s="30"/>
      <c r="TJ12" s="30"/>
      <c r="TK12" s="30"/>
      <c r="TL12" s="30"/>
      <c r="TM12" s="30"/>
      <c r="TN12" s="30"/>
      <c r="TO12" s="30"/>
      <c r="TP12" s="30"/>
      <c r="TQ12" s="30"/>
      <c r="TR12" s="30"/>
      <c r="TS12" s="30"/>
      <c r="TT12" s="30"/>
      <c r="TU12" s="30"/>
      <c r="TV12" s="30"/>
      <c r="TW12" s="30"/>
      <c r="TX12" s="30"/>
      <c r="TY12" s="30"/>
      <c r="TZ12" s="30"/>
      <c r="UA12" s="30"/>
      <c r="UB12" s="30"/>
      <c r="UC12" s="30"/>
      <c r="UD12" s="30"/>
      <c r="UE12" s="30"/>
      <c r="UF12" s="30"/>
      <c r="UG12" s="30"/>
      <c r="UH12" s="30"/>
      <c r="UI12" s="30"/>
      <c r="UJ12" s="30"/>
      <c r="UK12" s="30"/>
      <c r="UL12" s="30"/>
      <c r="UM12" s="30"/>
      <c r="UN12" s="30"/>
      <c r="UO12" s="30"/>
      <c r="UP12" s="30"/>
      <c r="UQ12" s="30"/>
      <c r="UR12" s="30"/>
      <c r="US12" s="30"/>
      <c r="UT12" s="30"/>
      <c r="UU12" s="30"/>
      <c r="UV12" s="30"/>
      <c r="UW12" s="30"/>
      <c r="UX12" s="30"/>
      <c r="UY12" s="30"/>
      <c r="UZ12" s="30"/>
      <c r="VA12" s="30"/>
      <c r="VB12" s="30"/>
      <c r="VC12" s="30"/>
      <c r="VD12" s="30"/>
      <c r="VE12" s="30"/>
      <c r="VF12" s="30"/>
      <c r="VG12" s="30"/>
      <c r="VH12" s="30"/>
      <c r="VI12" s="30"/>
      <c r="VJ12" s="30"/>
      <c r="VK12" s="30"/>
      <c r="VL12" s="30"/>
      <c r="VM12" s="30"/>
      <c r="VN12" s="30"/>
      <c r="VO12" s="30"/>
      <c r="VP12" s="30"/>
      <c r="VQ12" s="30"/>
      <c r="VR12" s="30"/>
      <c r="VS12" s="30"/>
      <c r="VT12" s="30"/>
      <c r="VU12" s="30"/>
      <c r="VV12" s="30"/>
      <c r="VW12" s="30"/>
      <c r="VX12" s="30"/>
      <c r="VY12" s="30"/>
      <c r="VZ12" s="30"/>
      <c r="WA12" s="30"/>
      <c r="WB12" s="30"/>
      <c r="WC12" s="30"/>
      <c r="WD12" s="30"/>
      <c r="WE12" s="30"/>
      <c r="WF12" s="30"/>
      <c r="WG12" s="30"/>
      <c r="WH12" s="30"/>
      <c r="WI12" s="30"/>
      <c r="WJ12" s="30"/>
      <c r="WK12" s="30"/>
      <c r="WL12" s="30"/>
      <c r="WM12" s="30"/>
      <c r="WN12" s="30"/>
      <c r="WO12" s="30"/>
      <c r="WP12" s="30"/>
      <c r="WQ12" s="30"/>
      <c r="WR12" s="30"/>
      <c r="WS12" s="30"/>
      <c r="WT12" s="30"/>
      <c r="WU12" s="30"/>
      <c r="WV12" s="30"/>
      <c r="WW12" s="30"/>
      <c r="WX12" s="30"/>
      <c r="WY12" s="30"/>
      <c r="WZ12" s="30"/>
      <c r="XA12" s="30"/>
      <c r="XB12" s="30"/>
      <c r="XC12" s="30"/>
      <c r="XD12" s="30"/>
      <c r="XE12" s="30"/>
      <c r="XF12" s="30"/>
      <c r="XG12" s="30"/>
      <c r="XH12" s="30"/>
      <c r="XI12" s="30"/>
      <c r="XJ12" s="30"/>
      <c r="XK12" s="30"/>
      <c r="XL12" s="30"/>
      <c r="XM12" s="30"/>
      <c r="XN12" s="30"/>
      <c r="XO12" s="30"/>
      <c r="XP12" s="30"/>
      <c r="XQ12" s="30"/>
      <c r="XR12" s="30"/>
      <c r="XS12" s="30"/>
      <c r="XT12" s="30"/>
      <c r="XU12" s="30"/>
      <c r="XV12" s="30"/>
      <c r="XW12" s="30"/>
      <c r="XX12" s="30"/>
      <c r="XY12" s="30"/>
      <c r="XZ12" s="30"/>
      <c r="YA12" s="30"/>
      <c r="YB12" s="30"/>
      <c r="YC12" s="30"/>
      <c r="YD12" s="30"/>
      <c r="YE12" s="30"/>
      <c r="YF12" s="30"/>
      <c r="YG12" s="30"/>
      <c r="YH12" s="30"/>
      <c r="YI12" s="30"/>
      <c r="YJ12" s="30"/>
      <c r="YK12" s="30"/>
      <c r="YL12" s="30"/>
      <c r="YM12" s="30"/>
      <c r="YN12" s="30"/>
      <c r="YO12" s="30"/>
      <c r="YP12" s="30"/>
      <c r="YQ12" s="30"/>
      <c r="YR12" s="30"/>
      <c r="YS12" s="30"/>
      <c r="YT12" s="30"/>
      <c r="YU12" s="30"/>
      <c r="YV12" s="30"/>
      <c r="YW12" s="30"/>
      <c r="YX12" s="30"/>
      <c r="YY12" s="30"/>
      <c r="YZ12" s="30"/>
      <c r="ZA12" s="30"/>
      <c r="ZB12" s="30"/>
      <c r="ZC12" s="30"/>
      <c r="ZD12" s="30"/>
      <c r="ZE12" s="30"/>
      <c r="ZF12" s="30"/>
      <c r="ZG12" s="30"/>
      <c r="ZH12" s="30"/>
      <c r="ZI12" s="30"/>
      <c r="ZJ12" s="30"/>
      <c r="ZK12" s="30"/>
      <c r="ZL12" s="30"/>
      <c r="ZM12" s="30"/>
      <c r="ZN12" s="30"/>
      <c r="ZO12" s="30"/>
      <c r="ZP12" s="30"/>
      <c r="ZQ12" s="30"/>
      <c r="ZR12" s="30"/>
      <c r="ZS12" s="30"/>
      <c r="ZT12" s="30"/>
      <c r="ZU12" s="30"/>
      <c r="ZV12" s="30"/>
      <c r="ZW12" s="30"/>
      <c r="ZX12" s="30"/>
      <c r="ZY12" s="30"/>
      <c r="ZZ12" s="30"/>
      <c r="AAA12" s="30"/>
      <c r="AAB12" s="30"/>
      <c r="AAC12" s="30"/>
      <c r="AAD12" s="30"/>
      <c r="AAE12" s="30"/>
      <c r="AAF12" s="30"/>
      <c r="AAG12" s="30"/>
      <c r="AAH12" s="30"/>
      <c r="AAI12" s="30"/>
      <c r="AAJ12" s="30"/>
      <c r="AAK12" s="30"/>
      <c r="AAL12" s="30"/>
      <c r="AAM12" s="30"/>
      <c r="AAN12" s="30"/>
      <c r="AAO12" s="30"/>
      <c r="AAP12" s="30"/>
      <c r="AAQ12" s="30"/>
      <c r="AAR12" s="30"/>
      <c r="AAS12" s="30"/>
      <c r="AAT12" s="30"/>
      <c r="AAU12" s="30"/>
      <c r="AAV12" s="30"/>
      <c r="AAW12" s="30"/>
      <c r="AAX12" s="30"/>
      <c r="AAY12" s="30"/>
      <c r="AAZ12" s="30"/>
      <c r="ABA12" s="30"/>
      <c r="ABB12" s="30"/>
      <c r="ABC12" s="30"/>
      <c r="ABD12" s="30"/>
      <c r="ABE12" s="30"/>
      <c r="ABF12" s="30"/>
      <c r="ABG12" s="30"/>
      <c r="ABH12" s="30"/>
      <c r="ABI12" s="30"/>
      <c r="ABJ12" s="30"/>
      <c r="ABK12" s="30"/>
      <c r="ABL12" s="30"/>
      <c r="ABM12" s="30"/>
      <c r="ABN12" s="30"/>
      <c r="ABO12" s="30"/>
      <c r="ABP12" s="30"/>
      <c r="ABQ12" s="30"/>
      <c r="ABR12" s="30"/>
      <c r="ABS12" s="30"/>
      <c r="ABT12" s="30"/>
      <c r="ABU12" s="30"/>
      <c r="ABV12" s="30"/>
      <c r="ABW12" s="30"/>
      <c r="ABX12" s="30"/>
      <c r="ABY12" s="30"/>
      <c r="ABZ12" s="30"/>
      <c r="ACA12" s="30"/>
      <c r="ACB12" s="30"/>
      <c r="ACC12" s="30"/>
      <c r="ACD12" s="30"/>
      <c r="ACE12" s="30"/>
      <c r="ACF12" s="30"/>
      <c r="ACG12" s="30"/>
      <c r="ACH12" s="30"/>
      <c r="ACI12" s="30"/>
      <c r="ACJ12" s="30"/>
      <c r="ACK12" s="30"/>
      <c r="ACL12" s="30"/>
      <c r="ACM12" s="30"/>
      <c r="ACN12" s="30"/>
      <c r="ACO12" s="30"/>
      <c r="ACP12" s="30"/>
      <c r="ACQ12" s="30"/>
      <c r="ACR12" s="30"/>
      <c r="ACS12" s="30"/>
      <c r="ACT12" s="30"/>
      <c r="ACU12" s="30"/>
      <c r="ACV12" s="30"/>
      <c r="ACW12" s="30"/>
      <c r="ACX12" s="30"/>
      <c r="ACY12" s="30"/>
      <c r="ACZ12" s="30"/>
      <c r="ADA12" s="30"/>
      <c r="ADB12" s="30"/>
      <c r="ADC12" s="30"/>
      <c r="ADD12" s="30"/>
      <c r="ADE12" s="30"/>
      <c r="ADF12" s="30"/>
      <c r="ADG12" s="30"/>
      <c r="ADH12" s="30"/>
      <c r="ADI12" s="30"/>
      <c r="ADJ12" s="30"/>
      <c r="ADK12" s="30"/>
      <c r="ADL12" s="30"/>
      <c r="ADM12" s="30"/>
      <c r="ADN12" s="30"/>
      <c r="ADO12" s="30"/>
      <c r="ADP12" s="30"/>
      <c r="ADQ12" s="30"/>
      <c r="ADR12" s="30"/>
      <c r="ADS12" s="30"/>
      <c r="ADT12" s="30"/>
      <c r="ADU12" s="30"/>
      <c r="ADV12" s="30"/>
      <c r="ADW12" s="30"/>
      <c r="ADX12" s="30"/>
      <c r="ADY12" s="30"/>
      <c r="ADZ12" s="30"/>
      <c r="AEA12" s="30"/>
      <c r="AEB12" s="30"/>
      <c r="AEC12" s="30"/>
      <c r="AED12" s="30"/>
      <c r="AEE12" s="30"/>
      <c r="AEF12" s="30"/>
      <c r="AEG12" s="30"/>
      <c r="AEH12" s="30"/>
      <c r="AEI12" s="30"/>
      <c r="AEJ12" s="30"/>
      <c r="AEK12" s="30"/>
      <c r="AEL12" s="30"/>
      <c r="AEM12" s="30"/>
      <c r="AEN12" s="30"/>
      <c r="AEO12" s="30"/>
      <c r="AEP12" s="30"/>
      <c r="AEQ12" s="30"/>
      <c r="AER12" s="30"/>
      <c r="AES12" s="30"/>
      <c r="AET12" s="30"/>
      <c r="AEU12" s="30"/>
      <c r="AEV12" s="30"/>
      <c r="AEW12" s="30"/>
      <c r="AEX12" s="30"/>
      <c r="AEY12" s="30"/>
      <c r="AEZ12" s="30"/>
      <c r="AFA12" s="30"/>
      <c r="AFB12" s="30"/>
      <c r="AFC12" s="30"/>
      <c r="AFD12" s="30"/>
      <c r="AFE12" s="30"/>
      <c r="AFF12" s="30"/>
      <c r="AFG12" s="30"/>
      <c r="AFH12" s="30"/>
      <c r="AFI12" s="30"/>
      <c r="AFJ12" s="30"/>
      <c r="AFK12" s="30"/>
      <c r="AFL12" s="30"/>
      <c r="AFM12" s="30"/>
      <c r="AFN12" s="30"/>
      <c r="AFO12" s="30"/>
      <c r="AFP12" s="30"/>
      <c r="AFQ12" s="30"/>
      <c r="AFR12" s="30"/>
      <c r="AFS12" s="30"/>
      <c r="AFT12" s="30"/>
      <c r="AFU12" s="30"/>
      <c r="AFV12" s="30"/>
      <c r="AFW12" s="30"/>
      <c r="AFX12" s="30"/>
      <c r="AFY12" s="30"/>
      <c r="AFZ12" s="30"/>
      <c r="AGA12" s="30"/>
      <c r="AGB12" s="30"/>
      <c r="AGC12" s="30"/>
      <c r="AGD12" s="30"/>
      <c r="AGE12" s="30"/>
      <c r="AGF12" s="30"/>
      <c r="AGG12" s="30"/>
      <c r="AGH12" s="30"/>
      <c r="AGI12" s="30"/>
      <c r="AGJ12" s="30"/>
      <c r="AGK12" s="30"/>
      <c r="AGL12" s="30"/>
      <c r="AGM12" s="30"/>
      <c r="AGN12" s="30"/>
      <c r="AGO12" s="30"/>
      <c r="AGP12" s="30"/>
      <c r="AGQ12" s="30"/>
      <c r="AGR12" s="30"/>
      <c r="AGS12" s="30"/>
      <c r="AGT12" s="30"/>
      <c r="AGU12" s="30"/>
      <c r="AGV12" s="30"/>
      <c r="AGW12" s="30"/>
      <c r="AGX12" s="30"/>
      <c r="AGY12" s="30"/>
      <c r="AGZ12" s="30"/>
      <c r="AHA12" s="30"/>
      <c r="AHB12" s="30"/>
      <c r="AHC12" s="30"/>
      <c r="AHD12" s="30"/>
      <c r="AHE12" s="30"/>
      <c r="AHF12" s="30"/>
      <c r="AHG12" s="30"/>
      <c r="AHH12" s="30"/>
      <c r="AHI12" s="30"/>
      <c r="AHJ12" s="30"/>
      <c r="AHK12" s="30"/>
      <c r="AHL12" s="30"/>
      <c r="AHM12" s="30"/>
      <c r="AHN12" s="30"/>
      <c r="AHO12" s="30"/>
      <c r="AHP12" s="30"/>
      <c r="AHQ12" s="30"/>
      <c r="AHR12" s="30"/>
      <c r="AHS12" s="30"/>
      <c r="AHT12" s="30"/>
      <c r="AHU12" s="30"/>
      <c r="AHV12" s="30"/>
      <c r="AHW12" s="30"/>
      <c r="AHX12" s="30"/>
      <c r="AHY12" s="30"/>
      <c r="AHZ12" s="30"/>
      <c r="AIA12" s="30"/>
      <c r="AIB12" s="30"/>
      <c r="AIC12" s="30"/>
      <c r="AID12" s="30"/>
      <c r="AIE12" s="30"/>
      <c r="AIF12" s="30"/>
      <c r="AIG12" s="30"/>
      <c r="AIH12" s="30"/>
      <c r="AII12" s="30"/>
      <c r="AIJ12" s="30"/>
      <c r="AIK12" s="30"/>
      <c r="AIL12" s="30"/>
      <c r="AIM12" s="30"/>
      <c r="AIN12" s="30"/>
      <c r="AIO12" s="30"/>
      <c r="AIP12" s="30"/>
      <c r="AIQ12" s="30"/>
      <c r="AIR12" s="30"/>
      <c r="AIS12" s="30"/>
      <c r="AIT12" s="30"/>
      <c r="AIU12" s="30"/>
      <c r="AIV12" s="30"/>
      <c r="AIW12" s="30"/>
      <c r="AIX12" s="30"/>
      <c r="AIY12" s="30"/>
      <c r="AIZ12" s="30"/>
      <c r="AJA12" s="30"/>
      <c r="AJB12" s="30"/>
      <c r="AJC12" s="30"/>
      <c r="AJD12" s="30"/>
      <c r="AJE12" s="30"/>
      <c r="AJF12" s="30"/>
      <c r="AJG12" s="30"/>
      <c r="AJH12" s="30"/>
      <c r="AJI12" s="30"/>
      <c r="AJJ12" s="30"/>
      <c r="AJK12" s="30"/>
      <c r="AJL12" s="30"/>
      <c r="AJM12" s="30"/>
      <c r="AJN12" s="30"/>
      <c r="AJO12" s="30"/>
      <c r="AJP12" s="30"/>
      <c r="AJQ12" s="30"/>
      <c r="AJR12" s="30"/>
      <c r="AJS12" s="30"/>
      <c r="AJT12" s="30"/>
      <c r="AJU12" s="30"/>
      <c r="AJV12" s="30"/>
      <c r="AJW12" s="30"/>
      <c r="AJX12" s="30"/>
      <c r="AJY12" s="30"/>
      <c r="AJZ12" s="30"/>
      <c r="AKA12" s="30"/>
      <c r="AKB12" s="30"/>
      <c r="AKC12" s="30"/>
      <c r="AKD12" s="30"/>
      <c r="AKE12" s="30"/>
      <c r="AKF12" s="30"/>
      <c r="AKG12" s="30"/>
      <c r="AKH12" s="30"/>
      <c r="AKI12" s="30"/>
      <c r="AKJ12" s="30"/>
      <c r="AKK12" s="30"/>
      <c r="AKL12" s="30"/>
      <c r="AKM12" s="30"/>
      <c r="AKN12" s="30"/>
      <c r="AKO12" s="30"/>
      <c r="AKP12" s="30"/>
      <c r="AKQ12" s="30"/>
      <c r="AKR12" s="30"/>
      <c r="AKS12" s="30"/>
      <c r="AKT12" s="30"/>
      <c r="AKU12" s="30"/>
      <c r="AKV12" s="30"/>
      <c r="AKW12" s="30"/>
      <c r="AKX12" s="30"/>
      <c r="AKY12" s="30"/>
      <c r="AKZ12" s="30"/>
      <c r="ALA12" s="30"/>
      <c r="ALB12" s="30"/>
      <c r="ALC12" s="30"/>
      <c r="ALD12" s="30"/>
      <c r="ALE12" s="30"/>
      <c r="ALF12" s="30"/>
      <c r="ALG12" s="30"/>
      <c r="ALH12" s="30"/>
      <c r="ALI12" s="30"/>
      <c r="ALJ12" s="30"/>
      <c r="ALK12" s="30"/>
      <c r="ALL12" s="30"/>
      <c r="ALM12" s="30"/>
      <c r="ALN12" s="30"/>
      <c r="ALO12" s="30"/>
      <c r="ALP12" s="30"/>
      <c r="ALQ12" s="30"/>
      <c r="ALR12" s="30"/>
      <c r="ALS12" s="30"/>
      <c r="ALT12" s="30"/>
      <c r="ALU12" s="30"/>
      <c r="ALV12" s="30"/>
      <c r="ALW12" s="30"/>
      <c r="ALX12" s="30"/>
      <c r="ALY12" s="30"/>
      <c r="ALZ12" s="30"/>
      <c r="AMA12" s="30"/>
      <c r="AMB12" s="30"/>
      <c r="AMC12" s="30"/>
      <c r="AMD12" s="30"/>
      <c r="AME12" s="30"/>
      <c r="AMF12" s="30"/>
      <c r="AMG12" s="30"/>
    </row>
    <row r="13" spans="1:1021" s="31" customFormat="1" x14ac:dyDescent="0.2">
      <c r="A13" s="9">
        <v>11</v>
      </c>
      <c r="B13" s="9" t="s">
        <v>265</v>
      </c>
      <c r="C13" s="9" t="s">
        <v>275</v>
      </c>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0"/>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c r="IT13" s="30"/>
      <c r="IU13" s="30"/>
      <c r="IV13" s="30"/>
      <c r="IW13" s="30"/>
      <c r="IX13" s="30"/>
      <c r="IY13" s="30"/>
      <c r="IZ13" s="30"/>
      <c r="JA13" s="30"/>
      <c r="JB13" s="30"/>
      <c r="JC13" s="30"/>
      <c r="JD13" s="30"/>
      <c r="JE13" s="30"/>
      <c r="JF13" s="30"/>
      <c r="JG13" s="30"/>
      <c r="JH13" s="30"/>
      <c r="JI13" s="30"/>
      <c r="JJ13" s="30"/>
      <c r="JK13" s="30"/>
      <c r="JL13" s="30"/>
      <c r="JM13" s="30"/>
      <c r="JN13" s="30"/>
      <c r="JO13" s="30"/>
      <c r="JP13" s="30"/>
      <c r="JQ13" s="30"/>
      <c r="JR13" s="30"/>
      <c r="JS13" s="30"/>
      <c r="JT13" s="30"/>
      <c r="JU13" s="30"/>
      <c r="JV13" s="30"/>
      <c r="JW13" s="30"/>
      <c r="JX13" s="30"/>
      <c r="JY13" s="30"/>
      <c r="JZ13" s="30"/>
      <c r="KA13" s="30"/>
      <c r="KB13" s="30"/>
      <c r="KC13" s="30"/>
      <c r="KD13" s="30"/>
      <c r="KE13" s="30"/>
      <c r="KF13" s="30"/>
      <c r="KG13" s="30"/>
      <c r="KH13" s="30"/>
      <c r="KI13" s="30"/>
      <c r="KJ13" s="30"/>
      <c r="KK13" s="30"/>
      <c r="KL13" s="30"/>
      <c r="KM13" s="30"/>
      <c r="KN13" s="30"/>
      <c r="KO13" s="30"/>
      <c r="KP13" s="30"/>
      <c r="KQ13" s="30"/>
      <c r="KR13" s="30"/>
      <c r="KS13" s="30"/>
      <c r="KT13" s="30"/>
      <c r="KU13" s="30"/>
      <c r="KV13" s="30"/>
      <c r="KW13" s="30"/>
      <c r="KX13" s="30"/>
      <c r="KY13" s="30"/>
      <c r="KZ13" s="30"/>
      <c r="LA13" s="30"/>
      <c r="LB13" s="30"/>
      <c r="LC13" s="30"/>
      <c r="LD13" s="30"/>
      <c r="LE13" s="30"/>
      <c r="LF13" s="30"/>
      <c r="LG13" s="30"/>
      <c r="LH13" s="30"/>
      <c r="LI13" s="30"/>
      <c r="LJ13" s="30"/>
      <c r="LK13" s="30"/>
      <c r="LL13" s="30"/>
      <c r="LM13" s="30"/>
      <c r="LN13" s="30"/>
      <c r="LO13" s="30"/>
      <c r="LP13" s="30"/>
      <c r="LQ13" s="30"/>
      <c r="LR13" s="30"/>
      <c r="LS13" s="30"/>
      <c r="LT13" s="30"/>
      <c r="LU13" s="30"/>
      <c r="LV13" s="30"/>
      <c r="LW13" s="30"/>
      <c r="LX13" s="30"/>
      <c r="LY13" s="30"/>
      <c r="LZ13" s="30"/>
      <c r="MA13" s="30"/>
      <c r="MB13" s="30"/>
      <c r="MC13" s="30"/>
      <c r="MD13" s="30"/>
      <c r="ME13" s="30"/>
      <c r="MF13" s="30"/>
      <c r="MG13" s="30"/>
      <c r="MH13" s="30"/>
      <c r="MI13" s="30"/>
      <c r="MJ13" s="30"/>
      <c r="MK13" s="30"/>
      <c r="ML13" s="30"/>
      <c r="MM13" s="30"/>
      <c r="MN13" s="30"/>
      <c r="MO13" s="30"/>
      <c r="MP13" s="30"/>
      <c r="MQ13" s="30"/>
      <c r="MR13" s="30"/>
      <c r="MS13" s="30"/>
      <c r="MT13" s="30"/>
      <c r="MU13" s="30"/>
      <c r="MV13" s="30"/>
      <c r="MW13" s="30"/>
      <c r="MX13" s="30"/>
      <c r="MY13" s="30"/>
      <c r="MZ13" s="30"/>
      <c r="NA13" s="30"/>
      <c r="NB13" s="30"/>
      <c r="NC13" s="30"/>
      <c r="ND13" s="30"/>
      <c r="NE13" s="30"/>
      <c r="NF13" s="30"/>
      <c r="NG13" s="30"/>
      <c r="NH13" s="30"/>
      <c r="NI13" s="30"/>
      <c r="NJ13" s="30"/>
      <c r="NK13" s="30"/>
      <c r="NL13" s="30"/>
      <c r="NM13" s="30"/>
      <c r="NN13" s="30"/>
      <c r="NO13" s="30"/>
      <c r="NP13" s="30"/>
      <c r="NQ13" s="30"/>
      <c r="NR13" s="30"/>
      <c r="NS13" s="30"/>
      <c r="NT13" s="30"/>
      <c r="NU13" s="30"/>
      <c r="NV13" s="30"/>
      <c r="NW13" s="30"/>
      <c r="NX13" s="30"/>
      <c r="NY13" s="30"/>
      <c r="NZ13" s="30"/>
      <c r="OA13" s="30"/>
      <c r="OB13" s="30"/>
      <c r="OC13" s="30"/>
      <c r="OD13" s="30"/>
      <c r="OE13" s="30"/>
      <c r="OF13" s="30"/>
      <c r="OG13" s="30"/>
      <c r="OH13" s="30"/>
      <c r="OI13" s="30"/>
      <c r="OJ13" s="30"/>
      <c r="OK13" s="30"/>
      <c r="OL13" s="30"/>
      <c r="OM13" s="30"/>
      <c r="ON13" s="30"/>
      <c r="OO13" s="30"/>
      <c r="OP13" s="30"/>
      <c r="OQ13" s="30"/>
      <c r="OR13" s="30"/>
      <c r="OS13" s="30"/>
      <c r="OT13" s="30"/>
      <c r="OU13" s="30"/>
      <c r="OV13" s="30"/>
      <c r="OW13" s="30"/>
      <c r="OX13" s="30"/>
      <c r="OY13" s="30"/>
      <c r="OZ13" s="30"/>
      <c r="PA13" s="30"/>
      <c r="PB13" s="30"/>
      <c r="PC13" s="30"/>
      <c r="PD13" s="30"/>
      <c r="PE13" s="30"/>
      <c r="PF13" s="30"/>
      <c r="PG13" s="30"/>
      <c r="PH13" s="30"/>
      <c r="PI13" s="30"/>
      <c r="PJ13" s="30"/>
      <c r="PK13" s="30"/>
      <c r="PL13" s="30"/>
      <c r="PM13" s="30"/>
      <c r="PN13" s="30"/>
      <c r="PO13" s="30"/>
      <c r="PP13" s="30"/>
      <c r="PQ13" s="30"/>
      <c r="PR13" s="30"/>
      <c r="PS13" s="30"/>
      <c r="PT13" s="30"/>
      <c r="PU13" s="30"/>
      <c r="PV13" s="30"/>
      <c r="PW13" s="30"/>
      <c r="PX13" s="30"/>
      <c r="PY13" s="30"/>
      <c r="PZ13" s="30"/>
      <c r="QA13" s="30"/>
      <c r="QB13" s="30"/>
      <c r="QC13" s="30"/>
      <c r="QD13" s="30"/>
      <c r="QE13" s="30"/>
      <c r="QF13" s="30"/>
      <c r="QG13" s="30"/>
      <c r="QH13" s="30"/>
      <c r="QI13" s="30"/>
      <c r="QJ13" s="30"/>
      <c r="QK13" s="30"/>
      <c r="QL13" s="30"/>
      <c r="QM13" s="30"/>
      <c r="QN13" s="30"/>
      <c r="QO13" s="30"/>
      <c r="QP13" s="30"/>
      <c r="QQ13" s="30"/>
      <c r="QR13" s="30"/>
      <c r="QS13" s="30"/>
      <c r="QT13" s="30"/>
      <c r="QU13" s="30"/>
      <c r="QV13" s="30"/>
      <c r="QW13" s="30"/>
      <c r="QX13" s="30"/>
      <c r="QY13" s="30"/>
      <c r="QZ13" s="30"/>
      <c r="RA13" s="30"/>
      <c r="RB13" s="30"/>
      <c r="RC13" s="30"/>
      <c r="RD13" s="30"/>
      <c r="RE13" s="30"/>
      <c r="RF13" s="30"/>
      <c r="RG13" s="30"/>
      <c r="RH13" s="30"/>
      <c r="RI13" s="30"/>
      <c r="RJ13" s="30"/>
      <c r="RK13" s="30"/>
      <c r="RL13" s="30"/>
      <c r="RM13" s="30"/>
      <c r="RN13" s="30"/>
      <c r="RO13" s="30"/>
      <c r="RP13" s="30"/>
      <c r="RQ13" s="30"/>
      <c r="RR13" s="30"/>
      <c r="RS13" s="30"/>
      <c r="RT13" s="30"/>
      <c r="RU13" s="30"/>
      <c r="RV13" s="30"/>
      <c r="RW13" s="30"/>
      <c r="RX13" s="30"/>
      <c r="RY13" s="30"/>
      <c r="RZ13" s="30"/>
      <c r="SA13" s="30"/>
      <c r="SB13" s="30"/>
      <c r="SC13" s="30"/>
      <c r="SD13" s="30"/>
      <c r="SE13" s="30"/>
      <c r="SF13" s="30"/>
      <c r="SG13" s="30"/>
      <c r="SH13" s="30"/>
      <c r="SI13" s="30"/>
      <c r="SJ13" s="30"/>
      <c r="SK13" s="30"/>
      <c r="SL13" s="30"/>
      <c r="SM13" s="30"/>
      <c r="SN13" s="30"/>
      <c r="SO13" s="30"/>
      <c r="SP13" s="30"/>
      <c r="SQ13" s="30"/>
      <c r="SR13" s="30"/>
      <c r="SS13" s="30"/>
      <c r="ST13" s="30"/>
      <c r="SU13" s="30"/>
      <c r="SV13" s="30"/>
      <c r="SW13" s="30"/>
      <c r="SX13" s="30"/>
      <c r="SY13" s="30"/>
      <c r="SZ13" s="30"/>
      <c r="TA13" s="30"/>
      <c r="TB13" s="30"/>
      <c r="TC13" s="30"/>
      <c r="TD13" s="30"/>
      <c r="TE13" s="30"/>
      <c r="TF13" s="30"/>
      <c r="TG13" s="30"/>
      <c r="TH13" s="30"/>
      <c r="TI13" s="30"/>
      <c r="TJ13" s="30"/>
      <c r="TK13" s="30"/>
      <c r="TL13" s="30"/>
      <c r="TM13" s="30"/>
      <c r="TN13" s="30"/>
      <c r="TO13" s="30"/>
      <c r="TP13" s="30"/>
      <c r="TQ13" s="30"/>
      <c r="TR13" s="30"/>
      <c r="TS13" s="30"/>
      <c r="TT13" s="30"/>
      <c r="TU13" s="30"/>
      <c r="TV13" s="30"/>
      <c r="TW13" s="30"/>
      <c r="TX13" s="30"/>
      <c r="TY13" s="30"/>
      <c r="TZ13" s="30"/>
      <c r="UA13" s="30"/>
      <c r="UB13" s="30"/>
      <c r="UC13" s="30"/>
      <c r="UD13" s="30"/>
      <c r="UE13" s="30"/>
      <c r="UF13" s="30"/>
      <c r="UG13" s="30"/>
      <c r="UH13" s="30"/>
      <c r="UI13" s="30"/>
      <c r="UJ13" s="30"/>
      <c r="UK13" s="30"/>
      <c r="UL13" s="30"/>
      <c r="UM13" s="30"/>
      <c r="UN13" s="30"/>
      <c r="UO13" s="30"/>
      <c r="UP13" s="30"/>
      <c r="UQ13" s="30"/>
      <c r="UR13" s="30"/>
      <c r="US13" s="30"/>
      <c r="UT13" s="30"/>
      <c r="UU13" s="30"/>
      <c r="UV13" s="30"/>
      <c r="UW13" s="30"/>
      <c r="UX13" s="30"/>
      <c r="UY13" s="30"/>
      <c r="UZ13" s="30"/>
      <c r="VA13" s="30"/>
      <c r="VB13" s="30"/>
      <c r="VC13" s="30"/>
      <c r="VD13" s="30"/>
      <c r="VE13" s="30"/>
      <c r="VF13" s="30"/>
      <c r="VG13" s="30"/>
      <c r="VH13" s="30"/>
      <c r="VI13" s="30"/>
      <c r="VJ13" s="30"/>
      <c r="VK13" s="30"/>
      <c r="VL13" s="30"/>
      <c r="VM13" s="30"/>
      <c r="VN13" s="30"/>
      <c r="VO13" s="30"/>
      <c r="VP13" s="30"/>
      <c r="VQ13" s="30"/>
      <c r="VR13" s="30"/>
      <c r="VS13" s="30"/>
      <c r="VT13" s="30"/>
      <c r="VU13" s="30"/>
      <c r="VV13" s="30"/>
      <c r="VW13" s="30"/>
      <c r="VX13" s="30"/>
      <c r="VY13" s="30"/>
      <c r="VZ13" s="30"/>
      <c r="WA13" s="30"/>
      <c r="WB13" s="30"/>
      <c r="WC13" s="30"/>
      <c r="WD13" s="30"/>
      <c r="WE13" s="30"/>
      <c r="WF13" s="30"/>
      <c r="WG13" s="30"/>
      <c r="WH13" s="30"/>
      <c r="WI13" s="30"/>
      <c r="WJ13" s="30"/>
      <c r="WK13" s="30"/>
      <c r="WL13" s="30"/>
      <c r="WM13" s="30"/>
      <c r="WN13" s="30"/>
      <c r="WO13" s="30"/>
      <c r="WP13" s="30"/>
      <c r="WQ13" s="30"/>
      <c r="WR13" s="30"/>
      <c r="WS13" s="30"/>
      <c r="WT13" s="30"/>
      <c r="WU13" s="30"/>
      <c r="WV13" s="30"/>
      <c r="WW13" s="30"/>
      <c r="WX13" s="30"/>
      <c r="WY13" s="30"/>
      <c r="WZ13" s="30"/>
      <c r="XA13" s="30"/>
      <c r="XB13" s="30"/>
      <c r="XC13" s="30"/>
      <c r="XD13" s="30"/>
      <c r="XE13" s="30"/>
      <c r="XF13" s="30"/>
      <c r="XG13" s="30"/>
      <c r="XH13" s="30"/>
      <c r="XI13" s="30"/>
      <c r="XJ13" s="30"/>
      <c r="XK13" s="30"/>
      <c r="XL13" s="30"/>
      <c r="XM13" s="30"/>
      <c r="XN13" s="30"/>
      <c r="XO13" s="30"/>
      <c r="XP13" s="30"/>
      <c r="XQ13" s="30"/>
      <c r="XR13" s="30"/>
      <c r="XS13" s="30"/>
      <c r="XT13" s="30"/>
      <c r="XU13" s="30"/>
      <c r="XV13" s="30"/>
      <c r="XW13" s="30"/>
      <c r="XX13" s="30"/>
      <c r="XY13" s="30"/>
      <c r="XZ13" s="30"/>
      <c r="YA13" s="30"/>
      <c r="YB13" s="30"/>
      <c r="YC13" s="30"/>
      <c r="YD13" s="30"/>
      <c r="YE13" s="30"/>
      <c r="YF13" s="30"/>
      <c r="YG13" s="30"/>
      <c r="YH13" s="30"/>
      <c r="YI13" s="30"/>
      <c r="YJ13" s="30"/>
      <c r="YK13" s="30"/>
      <c r="YL13" s="30"/>
      <c r="YM13" s="30"/>
      <c r="YN13" s="30"/>
      <c r="YO13" s="30"/>
      <c r="YP13" s="30"/>
      <c r="YQ13" s="30"/>
      <c r="YR13" s="30"/>
      <c r="YS13" s="30"/>
      <c r="YT13" s="30"/>
      <c r="YU13" s="30"/>
      <c r="YV13" s="30"/>
      <c r="YW13" s="30"/>
      <c r="YX13" s="30"/>
      <c r="YY13" s="30"/>
      <c r="YZ13" s="30"/>
      <c r="ZA13" s="30"/>
      <c r="ZB13" s="30"/>
      <c r="ZC13" s="30"/>
      <c r="ZD13" s="30"/>
      <c r="ZE13" s="30"/>
      <c r="ZF13" s="30"/>
      <c r="ZG13" s="30"/>
      <c r="ZH13" s="30"/>
      <c r="ZI13" s="30"/>
      <c r="ZJ13" s="30"/>
      <c r="ZK13" s="30"/>
      <c r="ZL13" s="30"/>
      <c r="ZM13" s="30"/>
      <c r="ZN13" s="30"/>
      <c r="ZO13" s="30"/>
      <c r="ZP13" s="30"/>
      <c r="ZQ13" s="30"/>
      <c r="ZR13" s="30"/>
      <c r="ZS13" s="30"/>
      <c r="ZT13" s="30"/>
      <c r="ZU13" s="30"/>
      <c r="ZV13" s="30"/>
      <c r="ZW13" s="30"/>
      <c r="ZX13" s="30"/>
      <c r="ZY13" s="30"/>
      <c r="ZZ13" s="30"/>
      <c r="AAA13" s="30"/>
      <c r="AAB13" s="30"/>
      <c r="AAC13" s="30"/>
      <c r="AAD13" s="30"/>
      <c r="AAE13" s="30"/>
      <c r="AAF13" s="30"/>
      <c r="AAG13" s="30"/>
      <c r="AAH13" s="30"/>
      <c r="AAI13" s="30"/>
      <c r="AAJ13" s="30"/>
      <c r="AAK13" s="30"/>
      <c r="AAL13" s="30"/>
      <c r="AAM13" s="30"/>
      <c r="AAN13" s="30"/>
      <c r="AAO13" s="30"/>
      <c r="AAP13" s="30"/>
      <c r="AAQ13" s="30"/>
      <c r="AAR13" s="30"/>
      <c r="AAS13" s="30"/>
      <c r="AAT13" s="30"/>
      <c r="AAU13" s="30"/>
      <c r="AAV13" s="30"/>
      <c r="AAW13" s="30"/>
      <c r="AAX13" s="30"/>
      <c r="AAY13" s="30"/>
      <c r="AAZ13" s="30"/>
      <c r="ABA13" s="30"/>
      <c r="ABB13" s="30"/>
      <c r="ABC13" s="30"/>
      <c r="ABD13" s="30"/>
      <c r="ABE13" s="30"/>
      <c r="ABF13" s="30"/>
      <c r="ABG13" s="30"/>
      <c r="ABH13" s="30"/>
      <c r="ABI13" s="30"/>
      <c r="ABJ13" s="30"/>
      <c r="ABK13" s="30"/>
      <c r="ABL13" s="30"/>
      <c r="ABM13" s="30"/>
      <c r="ABN13" s="30"/>
      <c r="ABO13" s="30"/>
      <c r="ABP13" s="30"/>
      <c r="ABQ13" s="30"/>
      <c r="ABR13" s="30"/>
      <c r="ABS13" s="30"/>
      <c r="ABT13" s="30"/>
      <c r="ABU13" s="30"/>
      <c r="ABV13" s="30"/>
      <c r="ABW13" s="30"/>
      <c r="ABX13" s="30"/>
      <c r="ABY13" s="30"/>
      <c r="ABZ13" s="30"/>
      <c r="ACA13" s="30"/>
      <c r="ACB13" s="30"/>
      <c r="ACC13" s="30"/>
      <c r="ACD13" s="30"/>
      <c r="ACE13" s="30"/>
      <c r="ACF13" s="30"/>
      <c r="ACG13" s="30"/>
      <c r="ACH13" s="30"/>
      <c r="ACI13" s="30"/>
      <c r="ACJ13" s="30"/>
      <c r="ACK13" s="30"/>
      <c r="ACL13" s="30"/>
      <c r="ACM13" s="30"/>
      <c r="ACN13" s="30"/>
      <c r="ACO13" s="30"/>
      <c r="ACP13" s="30"/>
      <c r="ACQ13" s="30"/>
      <c r="ACR13" s="30"/>
      <c r="ACS13" s="30"/>
      <c r="ACT13" s="30"/>
      <c r="ACU13" s="30"/>
      <c r="ACV13" s="30"/>
      <c r="ACW13" s="30"/>
      <c r="ACX13" s="30"/>
      <c r="ACY13" s="30"/>
      <c r="ACZ13" s="30"/>
      <c r="ADA13" s="30"/>
      <c r="ADB13" s="30"/>
      <c r="ADC13" s="30"/>
      <c r="ADD13" s="30"/>
      <c r="ADE13" s="30"/>
      <c r="ADF13" s="30"/>
      <c r="ADG13" s="30"/>
      <c r="ADH13" s="30"/>
      <c r="ADI13" s="30"/>
      <c r="ADJ13" s="30"/>
      <c r="ADK13" s="30"/>
      <c r="ADL13" s="30"/>
      <c r="ADM13" s="30"/>
      <c r="ADN13" s="30"/>
      <c r="ADO13" s="30"/>
      <c r="ADP13" s="30"/>
      <c r="ADQ13" s="30"/>
      <c r="ADR13" s="30"/>
      <c r="ADS13" s="30"/>
      <c r="ADT13" s="30"/>
      <c r="ADU13" s="30"/>
      <c r="ADV13" s="30"/>
      <c r="ADW13" s="30"/>
      <c r="ADX13" s="30"/>
      <c r="ADY13" s="30"/>
      <c r="ADZ13" s="30"/>
      <c r="AEA13" s="30"/>
      <c r="AEB13" s="30"/>
      <c r="AEC13" s="30"/>
      <c r="AED13" s="30"/>
      <c r="AEE13" s="30"/>
      <c r="AEF13" s="30"/>
      <c r="AEG13" s="30"/>
      <c r="AEH13" s="30"/>
      <c r="AEI13" s="30"/>
      <c r="AEJ13" s="30"/>
      <c r="AEK13" s="30"/>
      <c r="AEL13" s="30"/>
      <c r="AEM13" s="30"/>
      <c r="AEN13" s="30"/>
      <c r="AEO13" s="30"/>
      <c r="AEP13" s="30"/>
      <c r="AEQ13" s="30"/>
      <c r="AER13" s="30"/>
      <c r="AES13" s="30"/>
      <c r="AET13" s="30"/>
      <c r="AEU13" s="30"/>
      <c r="AEV13" s="30"/>
      <c r="AEW13" s="30"/>
      <c r="AEX13" s="30"/>
      <c r="AEY13" s="30"/>
      <c r="AEZ13" s="30"/>
      <c r="AFA13" s="30"/>
      <c r="AFB13" s="30"/>
      <c r="AFC13" s="30"/>
      <c r="AFD13" s="30"/>
      <c r="AFE13" s="30"/>
      <c r="AFF13" s="30"/>
      <c r="AFG13" s="30"/>
      <c r="AFH13" s="30"/>
      <c r="AFI13" s="30"/>
      <c r="AFJ13" s="30"/>
      <c r="AFK13" s="30"/>
      <c r="AFL13" s="30"/>
      <c r="AFM13" s="30"/>
      <c r="AFN13" s="30"/>
      <c r="AFO13" s="30"/>
      <c r="AFP13" s="30"/>
      <c r="AFQ13" s="30"/>
      <c r="AFR13" s="30"/>
      <c r="AFS13" s="30"/>
      <c r="AFT13" s="30"/>
      <c r="AFU13" s="30"/>
      <c r="AFV13" s="30"/>
      <c r="AFW13" s="30"/>
      <c r="AFX13" s="30"/>
      <c r="AFY13" s="30"/>
      <c r="AFZ13" s="30"/>
      <c r="AGA13" s="30"/>
      <c r="AGB13" s="30"/>
      <c r="AGC13" s="30"/>
      <c r="AGD13" s="30"/>
      <c r="AGE13" s="30"/>
      <c r="AGF13" s="30"/>
      <c r="AGG13" s="30"/>
      <c r="AGH13" s="30"/>
      <c r="AGI13" s="30"/>
      <c r="AGJ13" s="30"/>
      <c r="AGK13" s="30"/>
      <c r="AGL13" s="30"/>
      <c r="AGM13" s="30"/>
      <c r="AGN13" s="30"/>
      <c r="AGO13" s="30"/>
      <c r="AGP13" s="30"/>
      <c r="AGQ13" s="30"/>
      <c r="AGR13" s="30"/>
      <c r="AGS13" s="30"/>
      <c r="AGT13" s="30"/>
      <c r="AGU13" s="30"/>
      <c r="AGV13" s="30"/>
      <c r="AGW13" s="30"/>
      <c r="AGX13" s="30"/>
      <c r="AGY13" s="30"/>
      <c r="AGZ13" s="30"/>
      <c r="AHA13" s="30"/>
      <c r="AHB13" s="30"/>
      <c r="AHC13" s="30"/>
      <c r="AHD13" s="30"/>
      <c r="AHE13" s="30"/>
      <c r="AHF13" s="30"/>
      <c r="AHG13" s="30"/>
      <c r="AHH13" s="30"/>
      <c r="AHI13" s="30"/>
      <c r="AHJ13" s="30"/>
      <c r="AHK13" s="30"/>
      <c r="AHL13" s="30"/>
      <c r="AHM13" s="30"/>
      <c r="AHN13" s="30"/>
      <c r="AHO13" s="30"/>
      <c r="AHP13" s="30"/>
      <c r="AHQ13" s="30"/>
      <c r="AHR13" s="30"/>
      <c r="AHS13" s="30"/>
      <c r="AHT13" s="30"/>
      <c r="AHU13" s="30"/>
      <c r="AHV13" s="30"/>
      <c r="AHW13" s="30"/>
      <c r="AHX13" s="30"/>
      <c r="AHY13" s="30"/>
      <c r="AHZ13" s="30"/>
      <c r="AIA13" s="30"/>
      <c r="AIB13" s="30"/>
      <c r="AIC13" s="30"/>
      <c r="AID13" s="30"/>
      <c r="AIE13" s="30"/>
      <c r="AIF13" s="30"/>
      <c r="AIG13" s="30"/>
      <c r="AIH13" s="30"/>
      <c r="AII13" s="30"/>
      <c r="AIJ13" s="30"/>
      <c r="AIK13" s="30"/>
      <c r="AIL13" s="30"/>
      <c r="AIM13" s="30"/>
      <c r="AIN13" s="30"/>
      <c r="AIO13" s="30"/>
      <c r="AIP13" s="30"/>
      <c r="AIQ13" s="30"/>
      <c r="AIR13" s="30"/>
      <c r="AIS13" s="30"/>
      <c r="AIT13" s="30"/>
      <c r="AIU13" s="30"/>
      <c r="AIV13" s="30"/>
      <c r="AIW13" s="30"/>
      <c r="AIX13" s="30"/>
      <c r="AIY13" s="30"/>
      <c r="AIZ13" s="30"/>
      <c r="AJA13" s="30"/>
      <c r="AJB13" s="30"/>
      <c r="AJC13" s="30"/>
      <c r="AJD13" s="30"/>
      <c r="AJE13" s="30"/>
      <c r="AJF13" s="30"/>
      <c r="AJG13" s="30"/>
      <c r="AJH13" s="30"/>
      <c r="AJI13" s="30"/>
      <c r="AJJ13" s="30"/>
      <c r="AJK13" s="30"/>
      <c r="AJL13" s="30"/>
      <c r="AJM13" s="30"/>
      <c r="AJN13" s="30"/>
      <c r="AJO13" s="30"/>
      <c r="AJP13" s="30"/>
      <c r="AJQ13" s="30"/>
      <c r="AJR13" s="30"/>
      <c r="AJS13" s="30"/>
      <c r="AJT13" s="30"/>
      <c r="AJU13" s="30"/>
      <c r="AJV13" s="30"/>
      <c r="AJW13" s="30"/>
      <c r="AJX13" s="30"/>
      <c r="AJY13" s="30"/>
      <c r="AJZ13" s="30"/>
      <c r="AKA13" s="30"/>
      <c r="AKB13" s="30"/>
      <c r="AKC13" s="30"/>
      <c r="AKD13" s="30"/>
      <c r="AKE13" s="30"/>
      <c r="AKF13" s="30"/>
      <c r="AKG13" s="30"/>
      <c r="AKH13" s="30"/>
      <c r="AKI13" s="30"/>
      <c r="AKJ13" s="30"/>
      <c r="AKK13" s="30"/>
      <c r="AKL13" s="30"/>
      <c r="AKM13" s="30"/>
      <c r="AKN13" s="30"/>
      <c r="AKO13" s="30"/>
      <c r="AKP13" s="30"/>
      <c r="AKQ13" s="30"/>
      <c r="AKR13" s="30"/>
      <c r="AKS13" s="30"/>
      <c r="AKT13" s="30"/>
      <c r="AKU13" s="30"/>
      <c r="AKV13" s="30"/>
      <c r="AKW13" s="30"/>
      <c r="AKX13" s="30"/>
      <c r="AKY13" s="30"/>
      <c r="AKZ13" s="30"/>
      <c r="ALA13" s="30"/>
      <c r="ALB13" s="30"/>
      <c r="ALC13" s="30"/>
      <c r="ALD13" s="30"/>
      <c r="ALE13" s="30"/>
      <c r="ALF13" s="30"/>
      <c r="ALG13" s="30"/>
      <c r="ALH13" s="30"/>
      <c r="ALI13" s="30"/>
      <c r="ALJ13" s="30"/>
      <c r="ALK13" s="30"/>
      <c r="ALL13" s="30"/>
      <c r="ALM13" s="30"/>
      <c r="ALN13" s="30"/>
      <c r="ALO13" s="30"/>
      <c r="ALP13" s="30"/>
      <c r="ALQ13" s="30"/>
      <c r="ALR13" s="30"/>
      <c r="ALS13" s="30"/>
      <c r="ALT13" s="30"/>
      <c r="ALU13" s="30"/>
      <c r="ALV13" s="30"/>
      <c r="ALW13" s="30"/>
      <c r="ALX13" s="30"/>
      <c r="ALY13" s="30"/>
      <c r="ALZ13" s="30"/>
      <c r="AMA13" s="30"/>
      <c r="AMB13" s="30"/>
      <c r="AMC13" s="30"/>
      <c r="AMD13" s="30"/>
      <c r="AME13" s="30"/>
      <c r="AMF13" s="30"/>
      <c r="AMG13" s="30"/>
    </row>
    <row r="14" spans="1:1021" s="31" customFormat="1" x14ac:dyDescent="0.2">
      <c r="A14" s="9">
        <v>12</v>
      </c>
      <c r="B14" s="9" t="s">
        <v>265</v>
      </c>
      <c r="C14" s="9" t="s">
        <v>276</v>
      </c>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0"/>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0"/>
      <c r="KE14" s="30"/>
      <c r="KF14" s="30"/>
      <c r="KG14" s="30"/>
      <c r="KH14" s="30"/>
      <c r="KI14" s="30"/>
      <c r="KJ14" s="30"/>
      <c r="KK14" s="30"/>
      <c r="KL14" s="30"/>
      <c r="KM14" s="30"/>
      <c r="KN14" s="30"/>
      <c r="KO14" s="30"/>
      <c r="KP14" s="30"/>
      <c r="KQ14" s="30"/>
      <c r="KR14" s="30"/>
      <c r="KS14" s="30"/>
      <c r="KT14" s="30"/>
      <c r="KU14" s="30"/>
      <c r="KV14" s="30"/>
      <c r="KW14" s="30"/>
      <c r="KX14" s="30"/>
      <c r="KY14" s="30"/>
      <c r="KZ14" s="30"/>
      <c r="LA14" s="30"/>
      <c r="LB14" s="30"/>
      <c r="LC14" s="30"/>
      <c r="LD14" s="30"/>
      <c r="LE14" s="30"/>
      <c r="LF14" s="30"/>
      <c r="LG14" s="30"/>
      <c r="LH14" s="30"/>
      <c r="LI14" s="30"/>
      <c r="LJ14" s="30"/>
      <c r="LK14" s="30"/>
      <c r="LL14" s="30"/>
      <c r="LM14" s="30"/>
      <c r="LN14" s="30"/>
      <c r="LO14" s="30"/>
      <c r="LP14" s="30"/>
      <c r="LQ14" s="30"/>
      <c r="LR14" s="30"/>
      <c r="LS14" s="30"/>
      <c r="LT14" s="30"/>
      <c r="LU14" s="30"/>
      <c r="LV14" s="30"/>
      <c r="LW14" s="30"/>
      <c r="LX14" s="30"/>
      <c r="LY14" s="30"/>
      <c r="LZ14" s="30"/>
      <c r="MA14" s="30"/>
      <c r="MB14" s="30"/>
      <c r="MC14" s="30"/>
      <c r="MD14" s="30"/>
      <c r="ME14" s="30"/>
      <c r="MF14" s="30"/>
      <c r="MG14" s="30"/>
      <c r="MH14" s="30"/>
      <c r="MI14" s="30"/>
      <c r="MJ14" s="30"/>
      <c r="MK14" s="30"/>
      <c r="ML14" s="30"/>
      <c r="MM14" s="30"/>
      <c r="MN14" s="30"/>
      <c r="MO14" s="30"/>
      <c r="MP14" s="30"/>
      <c r="MQ14" s="30"/>
      <c r="MR14" s="30"/>
      <c r="MS14" s="30"/>
      <c r="MT14" s="30"/>
      <c r="MU14" s="30"/>
      <c r="MV14" s="30"/>
      <c r="MW14" s="30"/>
      <c r="MX14" s="30"/>
      <c r="MY14" s="30"/>
      <c r="MZ14" s="30"/>
      <c r="NA14" s="30"/>
      <c r="NB14" s="30"/>
      <c r="NC14" s="30"/>
      <c r="ND14" s="30"/>
      <c r="NE14" s="30"/>
      <c r="NF14" s="30"/>
      <c r="NG14" s="30"/>
      <c r="NH14" s="30"/>
      <c r="NI14" s="30"/>
      <c r="NJ14" s="30"/>
      <c r="NK14" s="30"/>
      <c r="NL14" s="30"/>
      <c r="NM14" s="30"/>
      <c r="NN14" s="30"/>
      <c r="NO14" s="30"/>
      <c r="NP14" s="30"/>
      <c r="NQ14" s="30"/>
      <c r="NR14" s="30"/>
      <c r="NS14" s="30"/>
      <c r="NT14" s="30"/>
      <c r="NU14" s="30"/>
      <c r="NV14" s="30"/>
      <c r="NW14" s="30"/>
      <c r="NX14" s="30"/>
      <c r="NY14" s="30"/>
      <c r="NZ14" s="30"/>
      <c r="OA14" s="30"/>
      <c r="OB14" s="30"/>
      <c r="OC14" s="30"/>
      <c r="OD14" s="30"/>
      <c r="OE14" s="30"/>
      <c r="OF14" s="30"/>
      <c r="OG14" s="30"/>
      <c r="OH14" s="30"/>
      <c r="OI14" s="30"/>
      <c r="OJ14" s="30"/>
      <c r="OK14" s="30"/>
      <c r="OL14" s="30"/>
      <c r="OM14" s="30"/>
      <c r="ON14" s="30"/>
      <c r="OO14" s="30"/>
      <c r="OP14" s="30"/>
      <c r="OQ14" s="30"/>
      <c r="OR14" s="30"/>
      <c r="OS14" s="30"/>
      <c r="OT14" s="30"/>
      <c r="OU14" s="30"/>
      <c r="OV14" s="30"/>
      <c r="OW14" s="30"/>
      <c r="OX14" s="30"/>
      <c r="OY14" s="30"/>
      <c r="OZ14" s="30"/>
      <c r="PA14" s="30"/>
      <c r="PB14" s="30"/>
      <c r="PC14" s="30"/>
      <c r="PD14" s="30"/>
      <c r="PE14" s="30"/>
      <c r="PF14" s="30"/>
      <c r="PG14" s="30"/>
      <c r="PH14" s="30"/>
      <c r="PI14" s="30"/>
      <c r="PJ14" s="30"/>
      <c r="PK14" s="30"/>
      <c r="PL14" s="30"/>
      <c r="PM14" s="30"/>
      <c r="PN14" s="30"/>
      <c r="PO14" s="30"/>
      <c r="PP14" s="30"/>
      <c r="PQ14" s="30"/>
      <c r="PR14" s="30"/>
      <c r="PS14" s="30"/>
      <c r="PT14" s="30"/>
      <c r="PU14" s="30"/>
      <c r="PV14" s="30"/>
      <c r="PW14" s="30"/>
      <c r="PX14" s="30"/>
      <c r="PY14" s="30"/>
      <c r="PZ14" s="30"/>
      <c r="QA14" s="30"/>
      <c r="QB14" s="30"/>
      <c r="QC14" s="30"/>
      <c r="QD14" s="30"/>
      <c r="QE14" s="30"/>
      <c r="QF14" s="30"/>
      <c r="QG14" s="30"/>
      <c r="QH14" s="30"/>
      <c r="QI14" s="30"/>
      <c r="QJ14" s="30"/>
      <c r="QK14" s="30"/>
      <c r="QL14" s="30"/>
      <c r="QM14" s="30"/>
      <c r="QN14" s="30"/>
      <c r="QO14" s="30"/>
      <c r="QP14" s="30"/>
      <c r="QQ14" s="30"/>
      <c r="QR14" s="30"/>
      <c r="QS14" s="30"/>
      <c r="QT14" s="30"/>
      <c r="QU14" s="30"/>
      <c r="QV14" s="30"/>
      <c r="QW14" s="30"/>
      <c r="QX14" s="30"/>
      <c r="QY14" s="30"/>
      <c r="QZ14" s="30"/>
      <c r="RA14" s="30"/>
      <c r="RB14" s="30"/>
      <c r="RC14" s="30"/>
      <c r="RD14" s="30"/>
      <c r="RE14" s="30"/>
      <c r="RF14" s="30"/>
      <c r="RG14" s="30"/>
      <c r="RH14" s="30"/>
      <c r="RI14" s="30"/>
      <c r="RJ14" s="30"/>
      <c r="RK14" s="30"/>
      <c r="RL14" s="30"/>
      <c r="RM14" s="30"/>
      <c r="RN14" s="30"/>
      <c r="RO14" s="30"/>
      <c r="RP14" s="30"/>
      <c r="RQ14" s="30"/>
      <c r="RR14" s="30"/>
      <c r="RS14" s="30"/>
      <c r="RT14" s="30"/>
      <c r="RU14" s="30"/>
      <c r="RV14" s="30"/>
      <c r="RW14" s="30"/>
      <c r="RX14" s="30"/>
      <c r="RY14" s="30"/>
      <c r="RZ14" s="30"/>
      <c r="SA14" s="30"/>
      <c r="SB14" s="30"/>
      <c r="SC14" s="30"/>
      <c r="SD14" s="30"/>
      <c r="SE14" s="30"/>
      <c r="SF14" s="30"/>
      <c r="SG14" s="30"/>
      <c r="SH14" s="30"/>
      <c r="SI14" s="30"/>
      <c r="SJ14" s="30"/>
      <c r="SK14" s="30"/>
      <c r="SL14" s="30"/>
      <c r="SM14" s="30"/>
      <c r="SN14" s="30"/>
      <c r="SO14" s="30"/>
      <c r="SP14" s="30"/>
      <c r="SQ14" s="30"/>
      <c r="SR14" s="30"/>
      <c r="SS14" s="30"/>
      <c r="ST14" s="30"/>
      <c r="SU14" s="30"/>
      <c r="SV14" s="30"/>
      <c r="SW14" s="30"/>
      <c r="SX14" s="30"/>
      <c r="SY14" s="30"/>
      <c r="SZ14" s="30"/>
      <c r="TA14" s="30"/>
      <c r="TB14" s="30"/>
      <c r="TC14" s="30"/>
      <c r="TD14" s="30"/>
      <c r="TE14" s="30"/>
      <c r="TF14" s="30"/>
      <c r="TG14" s="30"/>
      <c r="TH14" s="30"/>
      <c r="TI14" s="30"/>
      <c r="TJ14" s="30"/>
      <c r="TK14" s="30"/>
      <c r="TL14" s="30"/>
      <c r="TM14" s="30"/>
      <c r="TN14" s="30"/>
      <c r="TO14" s="30"/>
      <c r="TP14" s="30"/>
      <c r="TQ14" s="30"/>
      <c r="TR14" s="30"/>
      <c r="TS14" s="30"/>
      <c r="TT14" s="30"/>
      <c r="TU14" s="30"/>
      <c r="TV14" s="30"/>
      <c r="TW14" s="30"/>
      <c r="TX14" s="30"/>
      <c r="TY14" s="30"/>
      <c r="TZ14" s="30"/>
      <c r="UA14" s="30"/>
      <c r="UB14" s="30"/>
      <c r="UC14" s="30"/>
      <c r="UD14" s="30"/>
      <c r="UE14" s="30"/>
      <c r="UF14" s="30"/>
      <c r="UG14" s="30"/>
      <c r="UH14" s="30"/>
      <c r="UI14" s="30"/>
      <c r="UJ14" s="30"/>
      <c r="UK14" s="30"/>
      <c r="UL14" s="30"/>
      <c r="UM14" s="30"/>
      <c r="UN14" s="30"/>
      <c r="UO14" s="30"/>
      <c r="UP14" s="30"/>
      <c r="UQ14" s="30"/>
      <c r="UR14" s="30"/>
      <c r="US14" s="30"/>
      <c r="UT14" s="30"/>
      <c r="UU14" s="30"/>
      <c r="UV14" s="30"/>
      <c r="UW14" s="30"/>
      <c r="UX14" s="30"/>
      <c r="UY14" s="30"/>
      <c r="UZ14" s="30"/>
      <c r="VA14" s="30"/>
      <c r="VB14" s="30"/>
      <c r="VC14" s="30"/>
      <c r="VD14" s="30"/>
      <c r="VE14" s="30"/>
      <c r="VF14" s="30"/>
      <c r="VG14" s="30"/>
      <c r="VH14" s="30"/>
      <c r="VI14" s="30"/>
      <c r="VJ14" s="30"/>
      <c r="VK14" s="30"/>
      <c r="VL14" s="30"/>
      <c r="VM14" s="30"/>
      <c r="VN14" s="30"/>
      <c r="VO14" s="30"/>
      <c r="VP14" s="30"/>
      <c r="VQ14" s="30"/>
      <c r="VR14" s="30"/>
      <c r="VS14" s="30"/>
      <c r="VT14" s="30"/>
      <c r="VU14" s="30"/>
      <c r="VV14" s="30"/>
      <c r="VW14" s="30"/>
      <c r="VX14" s="30"/>
      <c r="VY14" s="30"/>
      <c r="VZ14" s="30"/>
      <c r="WA14" s="30"/>
      <c r="WB14" s="30"/>
      <c r="WC14" s="30"/>
      <c r="WD14" s="30"/>
      <c r="WE14" s="30"/>
      <c r="WF14" s="30"/>
      <c r="WG14" s="30"/>
      <c r="WH14" s="30"/>
      <c r="WI14" s="30"/>
      <c r="WJ14" s="30"/>
      <c r="WK14" s="30"/>
      <c r="WL14" s="30"/>
      <c r="WM14" s="30"/>
      <c r="WN14" s="30"/>
      <c r="WO14" s="30"/>
      <c r="WP14" s="30"/>
      <c r="WQ14" s="30"/>
      <c r="WR14" s="30"/>
      <c r="WS14" s="30"/>
      <c r="WT14" s="30"/>
      <c r="WU14" s="30"/>
      <c r="WV14" s="30"/>
      <c r="WW14" s="30"/>
      <c r="WX14" s="30"/>
      <c r="WY14" s="30"/>
      <c r="WZ14" s="30"/>
      <c r="XA14" s="30"/>
      <c r="XB14" s="30"/>
      <c r="XC14" s="30"/>
      <c r="XD14" s="30"/>
      <c r="XE14" s="30"/>
      <c r="XF14" s="30"/>
      <c r="XG14" s="30"/>
      <c r="XH14" s="30"/>
      <c r="XI14" s="30"/>
      <c r="XJ14" s="30"/>
      <c r="XK14" s="30"/>
      <c r="XL14" s="30"/>
      <c r="XM14" s="30"/>
      <c r="XN14" s="30"/>
      <c r="XO14" s="30"/>
      <c r="XP14" s="30"/>
      <c r="XQ14" s="30"/>
      <c r="XR14" s="30"/>
      <c r="XS14" s="30"/>
      <c r="XT14" s="30"/>
      <c r="XU14" s="30"/>
      <c r="XV14" s="30"/>
      <c r="XW14" s="30"/>
      <c r="XX14" s="30"/>
      <c r="XY14" s="30"/>
      <c r="XZ14" s="30"/>
      <c r="YA14" s="30"/>
      <c r="YB14" s="30"/>
      <c r="YC14" s="30"/>
      <c r="YD14" s="30"/>
      <c r="YE14" s="30"/>
      <c r="YF14" s="30"/>
      <c r="YG14" s="30"/>
      <c r="YH14" s="30"/>
      <c r="YI14" s="30"/>
      <c r="YJ14" s="30"/>
      <c r="YK14" s="30"/>
      <c r="YL14" s="30"/>
      <c r="YM14" s="30"/>
      <c r="YN14" s="30"/>
      <c r="YO14" s="30"/>
      <c r="YP14" s="30"/>
      <c r="YQ14" s="30"/>
      <c r="YR14" s="30"/>
      <c r="YS14" s="30"/>
      <c r="YT14" s="30"/>
      <c r="YU14" s="30"/>
      <c r="YV14" s="30"/>
      <c r="YW14" s="30"/>
      <c r="YX14" s="30"/>
      <c r="YY14" s="30"/>
      <c r="YZ14" s="30"/>
      <c r="ZA14" s="30"/>
      <c r="ZB14" s="30"/>
      <c r="ZC14" s="30"/>
      <c r="ZD14" s="30"/>
      <c r="ZE14" s="30"/>
      <c r="ZF14" s="30"/>
      <c r="ZG14" s="30"/>
      <c r="ZH14" s="30"/>
      <c r="ZI14" s="30"/>
      <c r="ZJ14" s="30"/>
      <c r="ZK14" s="30"/>
      <c r="ZL14" s="30"/>
      <c r="ZM14" s="30"/>
      <c r="ZN14" s="30"/>
      <c r="ZO14" s="30"/>
      <c r="ZP14" s="30"/>
      <c r="ZQ14" s="30"/>
      <c r="ZR14" s="30"/>
      <c r="ZS14" s="30"/>
      <c r="ZT14" s="30"/>
      <c r="ZU14" s="30"/>
      <c r="ZV14" s="30"/>
      <c r="ZW14" s="30"/>
      <c r="ZX14" s="30"/>
      <c r="ZY14" s="30"/>
      <c r="ZZ14" s="30"/>
      <c r="AAA14" s="30"/>
      <c r="AAB14" s="30"/>
      <c r="AAC14" s="30"/>
      <c r="AAD14" s="30"/>
      <c r="AAE14" s="30"/>
      <c r="AAF14" s="30"/>
      <c r="AAG14" s="30"/>
      <c r="AAH14" s="30"/>
      <c r="AAI14" s="30"/>
      <c r="AAJ14" s="30"/>
      <c r="AAK14" s="30"/>
      <c r="AAL14" s="30"/>
      <c r="AAM14" s="30"/>
      <c r="AAN14" s="30"/>
      <c r="AAO14" s="30"/>
      <c r="AAP14" s="30"/>
      <c r="AAQ14" s="30"/>
      <c r="AAR14" s="30"/>
      <c r="AAS14" s="30"/>
      <c r="AAT14" s="30"/>
      <c r="AAU14" s="30"/>
      <c r="AAV14" s="30"/>
      <c r="AAW14" s="30"/>
      <c r="AAX14" s="30"/>
      <c r="AAY14" s="30"/>
      <c r="AAZ14" s="30"/>
      <c r="ABA14" s="30"/>
      <c r="ABB14" s="30"/>
      <c r="ABC14" s="30"/>
      <c r="ABD14" s="30"/>
      <c r="ABE14" s="30"/>
      <c r="ABF14" s="30"/>
      <c r="ABG14" s="30"/>
      <c r="ABH14" s="30"/>
      <c r="ABI14" s="30"/>
      <c r="ABJ14" s="30"/>
      <c r="ABK14" s="30"/>
      <c r="ABL14" s="30"/>
      <c r="ABM14" s="30"/>
      <c r="ABN14" s="30"/>
      <c r="ABO14" s="30"/>
      <c r="ABP14" s="30"/>
      <c r="ABQ14" s="30"/>
      <c r="ABR14" s="30"/>
      <c r="ABS14" s="30"/>
      <c r="ABT14" s="30"/>
      <c r="ABU14" s="30"/>
      <c r="ABV14" s="30"/>
      <c r="ABW14" s="30"/>
      <c r="ABX14" s="30"/>
      <c r="ABY14" s="30"/>
      <c r="ABZ14" s="30"/>
      <c r="ACA14" s="30"/>
      <c r="ACB14" s="30"/>
      <c r="ACC14" s="30"/>
      <c r="ACD14" s="30"/>
      <c r="ACE14" s="30"/>
      <c r="ACF14" s="30"/>
      <c r="ACG14" s="30"/>
      <c r="ACH14" s="30"/>
      <c r="ACI14" s="30"/>
      <c r="ACJ14" s="30"/>
      <c r="ACK14" s="30"/>
      <c r="ACL14" s="30"/>
      <c r="ACM14" s="30"/>
      <c r="ACN14" s="30"/>
      <c r="ACO14" s="30"/>
      <c r="ACP14" s="30"/>
      <c r="ACQ14" s="30"/>
      <c r="ACR14" s="30"/>
      <c r="ACS14" s="30"/>
      <c r="ACT14" s="30"/>
      <c r="ACU14" s="30"/>
      <c r="ACV14" s="30"/>
      <c r="ACW14" s="30"/>
      <c r="ACX14" s="30"/>
      <c r="ACY14" s="30"/>
      <c r="ACZ14" s="30"/>
      <c r="ADA14" s="30"/>
      <c r="ADB14" s="30"/>
      <c r="ADC14" s="30"/>
      <c r="ADD14" s="30"/>
      <c r="ADE14" s="30"/>
      <c r="ADF14" s="30"/>
      <c r="ADG14" s="30"/>
      <c r="ADH14" s="30"/>
      <c r="ADI14" s="30"/>
      <c r="ADJ14" s="30"/>
      <c r="ADK14" s="30"/>
      <c r="ADL14" s="30"/>
      <c r="ADM14" s="30"/>
      <c r="ADN14" s="30"/>
      <c r="ADO14" s="30"/>
      <c r="ADP14" s="30"/>
      <c r="ADQ14" s="30"/>
      <c r="ADR14" s="30"/>
      <c r="ADS14" s="30"/>
      <c r="ADT14" s="30"/>
      <c r="ADU14" s="30"/>
      <c r="ADV14" s="30"/>
      <c r="ADW14" s="30"/>
      <c r="ADX14" s="30"/>
      <c r="ADY14" s="30"/>
      <c r="ADZ14" s="30"/>
      <c r="AEA14" s="30"/>
      <c r="AEB14" s="30"/>
      <c r="AEC14" s="30"/>
      <c r="AED14" s="30"/>
      <c r="AEE14" s="30"/>
      <c r="AEF14" s="30"/>
      <c r="AEG14" s="30"/>
      <c r="AEH14" s="30"/>
      <c r="AEI14" s="30"/>
      <c r="AEJ14" s="30"/>
      <c r="AEK14" s="30"/>
      <c r="AEL14" s="30"/>
      <c r="AEM14" s="30"/>
      <c r="AEN14" s="30"/>
      <c r="AEO14" s="30"/>
      <c r="AEP14" s="30"/>
      <c r="AEQ14" s="30"/>
      <c r="AER14" s="30"/>
      <c r="AES14" s="30"/>
      <c r="AET14" s="30"/>
      <c r="AEU14" s="30"/>
      <c r="AEV14" s="30"/>
      <c r="AEW14" s="30"/>
      <c r="AEX14" s="30"/>
      <c r="AEY14" s="30"/>
      <c r="AEZ14" s="30"/>
      <c r="AFA14" s="30"/>
      <c r="AFB14" s="30"/>
      <c r="AFC14" s="30"/>
      <c r="AFD14" s="30"/>
      <c r="AFE14" s="30"/>
      <c r="AFF14" s="30"/>
      <c r="AFG14" s="30"/>
      <c r="AFH14" s="30"/>
      <c r="AFI14" s="30"/>
      <c r="AFJ14" s="30"/>
      <c r="AFK14" s="30"/>
      <c r="AFL14" s="30"/>
      <c r="AFM14" s="30"/>
      <c r="AFN14" s="30"/>
      <c r="AFO14" s="30"/>
      <c r="AFP14" s="30"/>
      <c r="AFQ14" s="30"/>
      <c r="AFR14" s="30"/>
      <c r="AFS14" s="30"/>
      <c r="AFT14" s="30"/>
      <c r="AFU14" s="30"/>
      <c r="AFV14" s="30"/>
      <c r="AFW14" s="30"/>
      <c r="AFX14" s="30"/>
      <c r="AFY14" s="30"/>
      <c r="AFZ14" s="30"/>
      <c r="AGA14" s="30"/>
      <c r="AGB14" s="30"/>
      <c r="AGC14" s="30"/>
      <c r="AGD14" s="30"/>
      <c r="AGE14" s="30"/>
      <c r="AGF14" s="30"/>
      <c r="AGG14" s="30"/>
      <c r="AGH14" s="30"/>
      <c r="AGI14" s="30"/>
      <c r="AGJ14" s="30"/>
      <c r="AGK14" s="30"/>
      <c r="AGL14" s="30"/>
      <c r="AGM14" s="30"/>
      <c r="AGN14" s="30"/>
      <c r="AGO14" s="30"/>
      <c r="AGP14" s="30"/>
      <c r="AGQ14" s="30"/>
      <c r="AGR14" s="30"/>
      <c r="AGS14" s="30"/>
      <c r="AGT14" s="30"/>
      <c r="AGU14" s="30"/>
      <c r="AGV14" s="30"/>
      <c r="AGW14" s="30"/>
      <c r="AGX14" s="30"/>
      <c r="AGY14" s="30"/>
      <c r="AGZ14" s="30"/>
      <c r="AHA14" s="30"/>
      <c r="AHB14" s="30"/>
      <c r="AHC14" s="30"/>
      <c r="AHD14" s="30"/>
      <c r="AHE14" s="30"/>
      <c r="AHF14" s="30"/>
      <c r="AHG14" s="30"/>
      <c r="AHH14" s="30"/>
      <c r="AHI14" s="30"/>
      <c r="AHJ14" s="30"/>
      <c r="AHK14" s="30"/>
      <c r="AHL14" s="30"/>
      <c r="AHM14" s="30"/>
      <c r="AHN14" s="30"/>
      <c r="AHO14" s="30"/>
      <c r="AHP14" s="30"/>
      <c r="AHQ14" s="30"/>
      <c r="AHR14" s="30"/>
      <c r="AHS14" s="30"/>
      <c r="AHT14" s="30"/>
      <c r="AHU14" s="30"/>
      <c r="AHV14" s="30"/>
      <c r="AHW14" s="30"/>
      <c r="AHX14" s="30"/>
      <c r="AHY14" s="30"/>
      <c r="AHZ14" s="30"/>
      <c r="AIA14" s="30"/>
      <c r="AIB14" s="30"/>
      <c r="AIC14" s="30"/>
      <c r="AID14" s="30"/>
      <c r="AIE14" s="30"/>
      <c r="AIF14" s="30"/>
      <c r="AIG14" s="30"/>
      <c r="AIH14" s="30"/>
      <c r="AII14" s="30"/>
      <c r="AIJ14" s="30"/>
      <c r="AIK14" s="30"/>
      <c r="AIL14" s="30"/>
      <c r="AIM14" s="30"/>
      <c r="AIN14" s="30"/>
      <c r="AIO14" s="30"/>
      <c r="AIP14" s="30"/>
      <c r="AIQ14" s="30"/>
      <c r="AIR14" s="30"/>
      <c r="AIS14" s="30"/>
      <c r="AIT14" s="30"/>
      <c r="AIU14" s="30"/>
      <c r="AIV14" s="30"/>
      <c r="AIW14" s="30"/>
      <c r="AIX14" s="30"/>
      <c r="AIY14" s="30"/>
      <c r="AIZ14" s="30"/>
      <c r="AJA14" s="30"/>
      <c r="AJB14" s="30"/>
      <c r="AJC14" s="30"/>
      <c r="AJD14" s="30"/>
      <c r="AJE14" s="30"/>
      <c r="AJF14" s="30"/>
      <c r="AJG14" s="30"/>
      <c r="AJH14" s="30"/>
      <c r="AJI14" s="30"/>
      <c r="AJJ14" s="30"/>
      <c r="AJK14" s="30"/>
      <c r="AJL14" s="30"/>
      <c r="AJM14" s="30"/>
      <c r="AJN14" s="30"/>
      <c r="AJO14" s="30"/>
      <c r="AJP14" s="30"/>
      <c r="AJQ14" s="30"/>
      <c r="AJR14" s="30"/>
      <c r="AJS14" s="30"/>
      <c r="AJT14" s="30"/>
      <c r="AJU14" s="30"/>
      <c r="AJV14" s="30"/>
      <c r="AJW14" s="30"/>
      <c r="AJX14" s="30"/>
      <c r="AJY14" s="30"/>
      <c r="AJZ14" s="30"/>
      <c r="AKA14" s="30"/>
      <c r="AKB14" s="30"/>
      <c r="AKC14" s="30"/>
      <c r="AKD14" s="30"/>
      <c r="AKE14" s="30"/>
      <c r="AKF14" s="30"/>
      <c r="AKG14" s="30"/>
      <c r="AKH14" s="30"/>
      <c r="AKI14" s="30"/>
      <c r="AKJ14" s="30"/>
      <c r="AKK14" s="30"/>
      <c r="AKL14" s="30"/>
      <c r="AKM14" s="30"/>
      <c r="AKN14" s="30"/>
      <c r="AKO14" s="30"/>
      <c r="AKP14" s="30"/>
      <c r="AKQ14" s="30"/>
      <c r="AKR14" s="30"/>
      <c r="AKS14" s="30"/>
      <c r="AKT14" s="30"/>
      <c r="AKU14" s="30"/>
      <c r="AKV14" s="30"/>
      <c r="AKW14" s="30"/>
      <c r="AKX14" s="30"/>
      <c r="AKY14" s="30"/>
      <c r="AKZ14" s="30"/>
      <c r="ALA14" s="30"/>
      <c r="ALB14" s="30"/>
      <c r="ALC14" s="30"/>
      <c r="ALD14" s="30"/>
      <c r="ALE14" s="30"/>
      <c r="ALF14" s="30"/>
      <c r="ALG14" s="30"/>
      <c r="ALH14" s="30"/>
      <c r="ALI14" s="30"/>
      <c r="ALJ14" s="30"/>
      <c r="ALK14" s="30"/>
      <c r="ALL14" s="30"/>
      <c r="ALM14" s="30"/>
      <c r="ALN14" s="30"/>
      <c r="ALO14" s="30"/>
      <c r="ALP14" s="30"/>
      <c r="ALQ14" s="30"/>
      <c r="ALR14" s="30"/>
      <c r="ALS14" s="30"/>
      <c r="ALT14" s="30"/>
      <c r="ALU14" s="30"/>
      <c r="ALV14" s="30"/>
      <c r="ALW14" s="30"/>
      <c r="ALX14" s="30"/>
      <c r="ALY14" s="30"/>
      <c r="ALZ14" s="30"/>
      <c r="AMA14" s="30"/>
      <c r="AMB14" s="30"/>
      <c r="AMC14" s="30"/>
      <c r="AMD14" s="30"/>
      <c r="AME14" s="30"/>
      <c r="AMF14" s="30"/>
      <c r="AMG14" s="30"/>
    </row>
    <row r="15" spans="1:1021" s="31" customFormat="1" x14ac:dyDescent="0.2">
      <c r="A15" s="9">
        <v>13</v>
      </c>
      <c r="B15" s="9" t="s">
        <v>265</v>
      </c>
      <c r="C15" s="9" t="s">
        <v>277</v>
      </c>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c r="IV15" s="30"/>
      <c r="IW15" s="30"/>
      <c r="IX15" s="30"/>
      <c r="IY15" s="30"/>
      <c r="IZ15" s="30"/>
      <c r="JA15" s="30"/>
      <c r="JB15" s="30"/>
      <c r="JC15" s="30"/>
      <c r="JD15" s="30"/>
      <c r="JE15" s="30"/>
      <c r="JF15" s="30"/>
      <c r="JG15" s="30"/>
      <c r="JH15" s="30"/>
      <c r="JI15" s="30"/>
      <c r="JJ15" s="30"/>
      <c r="JK15" s="30"/>
      <c r="JL15" s="30"/>
      <c r="JM15" s="30"/>
      <c r="JN15" s="30"/>
      <c r="JO15" s="30"/>
      <c r="JP15" s="30"/>
      <c r="JQ15" s="30"/>
      <c r="JR15" s="30"/>
      <c r="JS15" s="30"/>
      <c r="JT15" s="30"/>
      <c r="JU15" s="30"/>
      <c r="JV15" s="30"/>
      <c r="JW15" s="30"/>
      <c r="JX15" s="30"/>
      <c r="JY15" s="30"/>
      <c r="JZ15" s="30"/>
      <c r="KA15" s="30"/>
      <c r="KB15" s="30"/>
      <c r="KC15" s="30"/>
      <c r="KD15" s="30"/>
      <c r="KE15" s="30"/>
      <c r="KF15" s="30"/>
      <c r="KG15" s="30"/>
      <c r="KH15" s="30"/>
      <c r="KI15" s="30"/>
      <c r="KJ15" s="30"/>
      <c r="KK15" s="30"/>
      <c r="KL15" s="30"/>
      <c r="KM15" s="30"/>
      <c r="KN15" s="30"/>
      <c r="KO15" s="30"/>
      <c r="KP15" s="30"/>
      <c r="KQ15" s="30"/>
      <c r="KR15" s="30"/>
      <c r="KS15" s="30"/>
      <c r="KT15" s="30"/>
      <c r="KU15" s="30"/>
      <c r="KV15" s="30"/>
      <c r="KW15" s="30"/>
      <c r="KX15" s="30"/>
      <c r="KY15" s="30"/>
      <c r="KZ15" s="30"/>
      <c r="LA15" s="30"/>
      <c r="LB15" s="30"/>
      <c r="LC15" s="30"/>
      <c r="LD15" s="30"/>
      <c r="LE15" s="30"/>
      <c r="LF15" s="30"/>
      <c r="LG15" s="30"/>
      <c r="LH15" s="30"/>
      <c r="LI15" s="30"/>
      <c r="LJ15" s="30"/>
      <c r="LK15" s="30"/>
      <c r="LL15" s="30"/>
      <c r="LM15" s="30"/>
      <c r="LN15" s="30"/>
      <c r="LO15" s="30"/>
      <c r="LP15" s="30"/>
      <c r="LQ15" s="30"/>
      <c r="LR15" s="30"/>
      <c r="LS15" s="30"/>
      <c r="LT15" s="30"/>
      <c r="LU15" s="30"/>
      <c r="LV15" s="30"/>
      <c r="LW15" s="30"/>
      <c r="LX15" s="30"/>
      <c r="LY15" s="30"/>
      <c r="LZ15" s="30"/>
      <c r="MA15" s="30"/>
      <c r="MB15" s="30"/>
      <c r="MC15" s="30"/>
      <c r="MD15" s="30"/>
      <c r="ME15" s="30"/>
      <c r="MF15" s="30"/>
      <c r="MG15" s="30"/>
      <c r="MH15" s="30"/>
      <c r="MI15" s="30"/>
      <c r="MJ15" s="30"/>
      <c r="MK15" s="30"/>
      <c r="ML15" s="30"/>
      <c r="MM15" s="30"/>
      <c r="MN15" s="30"/>
      <c r="MO15" s="30"/>
      <c r="MP15" s="30"/>
      <c r="MQ15" s="30"/>
      <c r="MR15" s="30"/>
      <c r="MS15" s="30"/>
      <c r="MT15" s="30"/>
      <c r="MU15" s="30"/>
      <c r="MV15" s="30"/>
      <c r="MW15" s="30"/>
      <c r="MX15" s="30"/>
      <c r="MY15" s="30"/>
      <c r="MZ15" s="30"/>
      <c r="NA15" s="30"/>
      <c r="NB15" s="30"/>
      <c r="NC15" s="30"/>
      <c r="ND15" s="30"/>
      <c r="NE15" s="30"/>
      <c r="NF15" s="30"/>
      <c r="NG15" s="30"/>
      <c r="NH15" s="30"/>
      <c r="NI15" s="30"/>
      <c r="NJ15" s="30"/>
      <c r="NK15" s="30"/>
      <c r="NL15" s="30"/>
      <c r="NM15" s="30"/>
      <c r="NN15" s="30"/>
      <c r="NO15" s="30"/>
      <c r="NP15" s="30"/>
      <c r="NQ15" s="30"/>
      <c r="NR15" s="30"/>
      <c r="NS15" s="30"/>
      <c r="NT15" s="30"/>
      <c r="NU15" s="30"/>
      <c r="NV15" s="30"/>
      <c r="NW15" s="30"/>
      <c r="NX15" s="30"/>
      <c r="NY15" s="30"/>
      <c r="NZ15" s="30"/>
      <c r="OA15" s="30"/>
      <c r="OB15" s="30"/>
      <c r="OC15" s="30"/>
      <c r="OD15" s="30"/>
      <c r="OE15" s="30"/>
      <c r="OF15" s="30"/>
      <c r="OG15" s="30"/>
      <c r="OH15" s="30"/>
      <c r="OI15" s="30"/>
      <c r="OJ15" s="30"/>
      <c r="OK15" s="30"/>
      <c r="OL15" s="30"/>
      <c r="OM15" s="30"/>
      <c r="ON15" s="30"/>
      <c r="OO15" s="30"/>
      <c r="OP15" s="30"/>
      <c r="OQ15" s="30"/>
      <c r="OR15" s="30"/>
      <c r="OS15" s="30"/>
      <c r="OT15" s="30"/>
      <c r="OU15" s="30"/>
      <c r="OV15" s="30"/>
      <c r="OW15" s="30"/>
      <c r="OX15" s="30"/>
      <c r="OY15" s="30"/>
      <c r="OZ15" s="30"/>
      <c r="PA15" s="30"/>
      <c r="PB15" s="30"/>
      <c r="PC15" s="30"/>
      <c r="PD15" s="30"/>
      <c r="PE15" s="30"/>
      <c r="PF15" s="30"/>
      <c r="PG15" s="30"/>
      <c r="PH15" s="30"/>
      <c r="PI15" s="30"/>
      <c r="PJ15" s="30"/>
      <c r="PK15" s="30"/>
      <c r="PL15" s="30"/>
      <c r="PM15" s="30"/>
      <c r="PN15" s="30"/>
      <c r="PO15" s="30"/>
      <c r="PP15" s="30"/>
      <c r="PQ15" s="30"/>
      <c r="PR15" s="30"/>
      <c r="PS15" s="30"/>
      <c r="PT15" s="30"/>
      <c r="PU15" s="30"/>
      <c r="PV15" s="30"/>
      <c r="PW15" s="30"/>
      <c r="PX15" s="30"/>
      <c r="PY15" s="30"/>
      <c r="PZ15" s="30"/>
      <c r="QA15" s="30"/>
      <c r="QB15" s="30"/>
      <c r="QC15" s="30"/>
      <c r="QD15" s="30"/>
      <c r="QE15" s="30"/>
      <c r="QF15" s="30"/>
      <c r="QG15" s="30"/>
      <c r="QH15" s="30"/>
      <c r="QI15" s="30"/>
      <c r="QJ15" s="30"/>
      <c r="QK15" s="30"/>
      <c r="QL15" s="30"/>
      <c r="QM15" s="30"/>
      <c r="QN15" s="30"/>
      <c r="QO15" s="30"/>
      <c r="QP15" s="30"/>
      <c r="QQ15" s="30"/>
      <c r="QR15" s="30"/>
      <c r="QS15" s="30"/>
      <c r="QT15" s="30"/>
      <c r="QU15" s="30"/>
      <c r="QV15" s="30"/>
      <c r="QW15" s="30"/>
      <c r="QX15" s="30"/>
      <c r="QY15" s="30"/>
      <c r="QZ15" s="30"/>
      <c r="RA15" s="30"/>
      <c r="RB15" s="30"/>
      <c r="RC15" s="30"/>
      <c r="RD15" s="30"/>
      <c r="RE15" s="30"/>
      <c r="RF15" s="30"/>
      <c r="RG15" s="30"/>
      <c r="RH15" s="30"/>
      <c r="RI15" s="30"/>
      <c r="RJ15" s="30"/>
      <c r="RK15" s="30"/>
      <c r="RL15" s="30"/>
      <c r="RM15" s="30"/>
      <c r="RN15" s="30"/>
      <c r="RO15" s="30"/>
      <c r="RP15" s="30"/>
      <c r="RQ15" s="30"/>
      <c r="RR15" s="30"/>
      <c r="RS15" s="30"/>
      <c r="RT15" s="30"/>
      <c r="RU15" s="30"/>
      <c r="RV15" s="30"/>
      <c r="RW15" s="30"/>
      <c r="RX15" s="30"/>
      <c r="RY15" s="30"/>
      <c r="RZ15" s="30"/>
      <c r="SA15" s="30"/>
      <c r="SB15" s="30"/>
      <c r="SC15" s="30"/>
      <c r="SD15" s="30"/>
      <c r="SE15" s="30"/>
      <c r="SF15" s="30"/>
      <c r="SG15" s="30"/>
      <c r="SH15" s="30"/>
      <c r="SI15" s="30"/>
      <c r="SJ15" s="30"/>
      <c r="SK15" s="30"/>
      <c r="SL15" s="30"/>
      <c r="SM15" s="30"/>
      <c r="SN15" s="30"/>
      <c r="SO15" s="30"/>
      <c r="SP15" s="30"/>
      <c r="SQ15" s="30"/>
      <c r="SR15" s="30"/>
      <c r="SS15" s="30"/>
      <c r="ST15" s="30"/>
      <c r="SU15" s="30"/>
      <c r="SV15" s="30"/>
      <c r="SW15" s="30"/>
      <c r="SX15" s="30"/>
      <c r="SY15" s="30"/>
      <c r="SZ15" s="30"/>
      <c r="TA15" s="30"/>
      <c r="TB15" s="30"/>
      <c r="TC15" s="30"/>
      <c r="TD15" s="30"/>
      <c r="TE15" s="30"/>
      <c r="TF15" s="30"/>
      <c r="TG15" s="30"/>
      <c r="TH15" s="30"/>
      <c r="TI15" s="30"/>
      <c r="TJ15" s="30"/>
      <c r="TK15" s="30"/>
      <c r="TL15" s="30"/>
      <c r="TM15" s="30"/>
      <c r="TN15" s="30"/>
      <c r="TO15" s="30"/>
      <c r="TP15" s="30"/>
      <c r="TQ15" s="30"/>
      <c r="TR15" s="30"/>
      <c r="TS15" s="30"/>
      <c r="TT15" s="30"/>
      <c r="TU15" s="30"/>
      <c r="TV15" s="30"/>
      <c r="TW15" s="30"/>
      <c r="TX15" s="30"/>
      <c r="TY15" s="30"/>
      <c r="TZ15" s="30"/>
      <c r="UA15" s="30"/>
      <c r="UB15" s="30"/>
      <c r="UC15" s="30"/>
      <c r="UD15" s="30"/>
      <c r="UE15" s="30"/>
      <c r="UF15" s="30"/>
      <c r="UG15" s="30"/>
      <c r="UH15" s="30"/>
      <c r="UI15" s="30"/>
      <c r="UJ15" s="30"/>
      <c r="UK15" s="30"/>
      <c r="UL15" s="30"/>
      <c r="UM15" s="30"/>
      <c r="UN15" s="30"/>
      <c r="UO15" s="30"/>
      <c r="UP15" s="30"/>
      <c r="UQ15" s="30"/>
      <c r="UR15" s="30"/>
      <c r="US15" s="30"/>
      <c r="UT15" s="30"/>
      <c r="UU15" s="30"/>
      <c r="UV15" s="30"/>
      <c r="UW15" s="30"/>
      <c r="UX15" s="30"/>
      <c r="UY15" s="30"/>
      <c r="UZ15" s="30"/>
      <c r="VA15" s="30"/>
      <c r="VB15" s="30"/>
      <c r="VC15" s="30"/>
      <c r="VD15" s="30"/>
      <c r="VE15" s="30"/>
      <c r="VF15" s="30"/>
      <c r="VG15" s="30"/>
      <c r="VH15" s="30"/>
      <c r="VI15" s="30"/>
      <c r="VJ15" s="30"/>
      <c r="VK15" s="30"/>
      <c r="VL15" s="30"/>
      <c r="VM15" s="30"/>
      <c r="VN15" s="30"/>
      <c r="VO15" s="30"/>
      <c r="VP15" s="30"/>
      <c r="VQ15" s="30"/>
      <c r="VR15" s="30"/>
      <c r="VS15" s="30"/>
      <c r="VT15" s="30"/>
      <c r="VU15" s="30"/>
      <c r="VV15" s="30"/>
      <c r="VW15" s="30"/>
      <c r="VX15" s="30"/>
      <c r="VY15" s="30"/>
      <c r="VZ15" s="30"/>
      <c r="WA15" s="30"/>
      <c r="WB15" s="30"/>
      <c r="WC15" s="30"/>
      <c r="WD15" s="30"/>
      <c r="WE15" s="30"/>
      <c r="WF15" s="30"/>
      <c r="WG15" s="30"/>
      <c r="WH15" s="30"/>
      <c r="WI15" s="30"/>
      <c r="WJ15" s="30"/>
      <c r="WK15" s="30"/>
      <c r="WL15" s="30"/>
      <c r="WM15" s="30"/>
      <c r="WN15" s="30"/>
      <c r="WO15" s="30"/>
      <c r="WP15" s="30"/>
      <c r="WQ15" s="30"/>
      <c r="WR15" s="30"/>
      <c r="WS15" s="30"/>
      <c r="WT15" s="30"/>
      <c r="WU15" s="30"/>
      <c r="WV15" s="30"/>
      <c r="WW15" s="30"/>
      <c r="WX15" s="30"/>
      <c r="WY15" s="30"/>
      <c r="WZ15" s="30"/>
      <c r="XA15" s="30"/>
      <c r="XB15" s="30"/>
      <c r="XC15" s="30"/>
      <c r="XD15" s="30"/>
      <c r="XE15" s="30"/>
      <c r="XF15" s="30"/>
      <c r="XG15" s="30"/>
      <c r="XH15" s="30"/>
      <c r="XI15" s="30"/>
      <c r="XJ15" s="30"/>
      <c r="XK15" s="30"/>
      <c r="XL15" s="30"/>
      <c r="XM15" s="30"/>
      <c r="XN15" s="30"/>
      <c r="XO15" s="30"/>
      <c r="XP15" s="30"/>
      <c r="XQ15" s="30"/>
      <c r="XR15" s="30"/>
      <c r="XS15" s="30"/>
      <c r="XT15" s="30"/>
      <c r="XU15" s="30"/>
      <c r="XV15" s="30"/>
      <c r="XW15" s="30"/>
      <c r="XX15" s="30"/>
      <c r="XY15" s="30"/>
      <c r="XZ15" s="30"/>
      <c r="YA15" s="30"/>
      <c r="YB15" s="30"/>
      <c r="YC15" s="30"/>
      <c r="YD15" s="30"/>
      <c r="YE15" s="30"/>
      <c r="YF15" s="30"/>
      <c r="YG15" s="30"/>
      <c r="YH15" s="30"/>
      <c r="YI15" s="30"/>
      <c r="YJ15" s="30"/>
      <c r="YK15" s="30"/>
      <c r="YL15" s="30"/>
      <c r="YM15" s="30"/>
      <c r="YN15" s="30"/>
      <c r="YO15" s="30"/>
      <c r="YP15" s="30"/>
      <c r="YQ15" s="30"/>
      <c r="YR15" s="30"/>
      <c r="YS15" s="30"/>
      <c r="YT15" s="30"/>
      <c r="YU15" s="30"/>
      <c r="YV15" s="30"/>
      <c r="YW15" s="30"/>
      <c r="YX15" s="30"/>
      <c r="YY15" s="30"/>
      <c r="YZ15" s="30"/>
      <c r="ZA15" s="30"/>
      <c r="ZB15" s="30"/>
      <c r="ZC15" s="30"/>
      <c r="ZD15" s="30"/>
      <c r="ZE15" s="30"/>
      <c r="ZF15" s="30"/>
      <c r="ZG15" s="30"/>
      <c r="ZH15" s="30"/>
      <c r="ZI15" s="30"/>
      <c r="ZJ15" s="30"/>
      <c r="ZK15" s="30"/>
      <c r="ZL15" s="30"/>
      <c r="ZM15" s="30"/>
      <c r="ZN15" s="30"/>
      <c r="ZO15" s="30"/>
      <c r="ZP15" s="30"/>
      <c r="ZQ15" s="30"/>
      <c r="ZR15" s="30"/>
      <c r="ZS15" s="30"/>
      <c r="ZT15" s="30"/>
      <c r="ZU15" s="30"/>
      <c r="ZV15" s="30"/>
      <c r="ZW15" s="30"/>
      <c r="ZX15" s="30"/>
      <c r="ZY15" s="30"/>
      <c r="ZZ15" s="30"/>
      <c r="AAA15" s="30"/>
      <c r="AAB15" s="30"/>
      <c r="AAC15" s="30"/>
      <c r="AAD15" s="30"/>
      <c r="AAE15" s="30"/>
      <c r="AAF15" s="30"/>
      <c r="AAG15" s="30"/>
      <c r="AAH15" s="30"/>
      <c r="AAI15" s="30"/>
      <c r="AAJ15" s="30"/>
      <c r="AAK15" s="30"/>
      <c r="AAL15" s="30"/>
      <c r="AAM15" s="30"/>
      <c r="AAN15" s="30"/>
      <c r="AAO15" s="30"/>
      <c r="AAP15" s="30"/>
      <c r="AAQ15" s="30"/>
      <c r="AAR15" s="30"/>
      <c r="AAS15" s="30"/>
      <c r="AAT15" s="30"/>
      <c r="AAU15" s="30"/>
      <c r="AAV15" s="30"/>
      <c r="AAW15" s="30"/>
      <c r="AAX15" s="30"/>
      <c r="AAY15" s="30"/>
      <c r="AAZ15" s="30"/>
      <c r="ABA15" s="30"/>
      <c r="ABB15" s="30"/>
      <c r="ABC15" s="30"/>
      <c r="ABD15" s="30"/>
      <c r="ABE15" s="30"/>
      <c r="ABF15" s="30"/>
      <c r="ABG15" s="30"/>
      <c r="ABH15" s="30"/>
      <c r="ABI15" s="30"/>
      <c r="ABJ15" s="30"/>
      <c r="ABK15" s="30"/>
      <c r="ABL15" s="30"/>
      <c r="ABM15" s="30"/>
      <c r="ABN15" s="30"/>
      <c r="ABO15" s="30"/>
      <c r="ABP15" s="30"/>
      <c r="ABQ15" s="30"/>
      <c r="ABR15" s="30"/>
      <c r="ABS15" s="30"/>
      <c r="ABT15" s="30"/>
      <c r="ABU15" s="30"/>
      <c r="ABV15" s="30"/>
      <c r="ABW15" s="30"/>
      <c r="ABX15" s="30"/>
      <c r="ABY15" s="30"/>
      <c r="ABZ15" s="30"/>
      <c r="ACA15" s="30"/>
      <c r="ACB15" s="30"/>
      <c r="ACC15" s="30"/>
      <c r="ACD15" s="30"/>
      <c r="ACE15" s="30"/>
      <c r="ACF15" s="30"/>
      <c r="ACG15" s="30"/>
      <c r="ACH15" s="30"/>
      <c r="ACI15" s="30"/>
      <c r="ACJ15" s="30"/>
      <c r="ACK15" s="30"/>
      <c r="ACL15" s="30"/>
      <c r="ACM15" s="30"/>
      <c r="ACN15" s="30"/>
      <c r="ACO15" s="30"/>
      <c r="ACP15" s="30"/>
      <c r="ACQ15" s="30"/>
      <c r="ACR15" s="30"/>
      <c r="ACS15" s="30"/>
      <c r="ACT15" s="30"/>
      <c r="ACU15" s="30"/>
      <c r="ACV15" s="30"/>
      <c r="ACW15" s="30"/>
      <c r="ACX15" s="30"/>
      <c r="ACY15" s="30"/>
      <c r="ACZ15" s="30"/>
      <c r="ADA15" s="30"/>
      <c r="ADB15" s="30"/>
      <c r="ADC15" s="30"/>
      <c r="ADD15" s="30"/>
      <c r="ADE15" s="30"/>
      <c r="ADF15" s="30"/>
      <c r="ADG15" s="30"/>
      <c r="ADH15" s="30"/>
      <c r="ADI15" s="30"/>
      <c r="ADJ15" s="30"/>
      <c r="ADK15" s="30"/>
      <c r="ADL15" s="30"/>
      <c r="ADM15" s="30"/>
      <c r="ADN15" s="30"/>
      <c r="ADO15" s="30"/>
      <c r="ADP15" s="30"/>
      <c r="ADQ15" s="30"/>
      <c r="ADR15" s="30"/>
      <c r="ADS15" s="30"/>
      <c r="ADT15" s="30"/>
      <c r="ADU15" s="30"/>
      <c r="ADV15" s="30"/>
      <c r="ADW15" s="30"/>
      <c r="ADX15" s="30"/>
      <c r="ADY15" s="30"/>
      <c r="ADZ15" s="30"/>
      <c r="AEA15" s="30"/>
      <c r="AEB15" s="30"/>
      <c r="AEC15" s="30"/>
      <c r="AED15" s="30"/>
      <c r="AEE15" s="30"/>
      <c r="AEF15" s="30"/>
      <c r="AEG15" s="30"/>
      <c r="AEH15" s="30"/>
      <c r="AEI15" s="30"/>
      <c r="AEJ15" s="30"/>
      <c r="AEK15" s="30"/>
      <c r="AEL15" s="30"/>
      <c r="AEM15" s="30"/>
      <c r="AEN15" s="30"/>
      <c r="AEO15" s="30"/>
      <c r="AEP15" s="30"/>
      <c r="AEQ15" s="30"/>
      <c r="AER15" s="30"/>
      <c r="AES15" s="30"/>
      <c r="AET15" s="30"/>
      <c r="AEU15" s="30"/>
      <c r="AEV15" s="30"/>
      <c r="AEW15" s="30"/>
      <c r="AEX15" s="30"/>
      <c r="AEY15" s="30"/>
      <c r="AEZ15" s="30"/>
      <c r="AFA15" s="30"/>
      <c r="AFB15" s="30"/>
      <c r="AFC15" s="30"/>
      <c r="AFD15" s="30"/>
      <c r="AFE15" s="30"/>
      <c r="AFF15" s="30"/>
      <c r="AFG15" s="30"/>
      <c r="AFH15" s="30"/>
      <c r="AFI15" s="30"/>
      <c r="AFJ15" s="30"/>
      <c r="AFK15" s="30"/>
      <c r="AFL15" s="30"/>
      <c r="AFM15" s="30"/>
      <c r="AFN15" s="30"/>
      <c r="AFO15" s="30"/>
      <c r="AFP15" s="30"/>
      <c r="AFQ15" s="30"/>
      <c r="AFR15" s="30"/>
      <c r="AFS15" s="30"/>
      <c r="AFT15" s="30"/>
      <c r="AFU15" s="30"/>
      <c r="AFV15" s="30"/>
      <c r="AFW15" s="30"/>
      <c r="AFX15" s="30"/>
      <c r="AFY15" s="30"/>
      <c r="AFZ15" s="30"/>
      <c r="AGA15" s="30"/>
      <c r="AGB15" s="30"/>
      <c r="AGC15" s="30"/>
      <c r="AGD15" s="30"/>
      <c r="AGE15" s="30"/>
      <c r="AGF15" s="30"/>
      <c r="AGG15" s="30"/>
      <c r="AGH15" s="30"/>
      <c r="AGI15" s="30"/>
      <c r="AGJ15" s="30"/>
      <c r="AGK15" s="30"/>
      <c r="AGL15" s="30"/>
      <c r="AGM15" s="30"/>
      <c r="AGN15" s="30"/>
      <c r="AGO15" s="30"/>
      <c r="AGP15" s="30"/>
      <c r="AGQ15" s="30"/>
      <c r="AGR15" s="30"/>
      <c r="AGS15" s="30"/>
      <c r="AGT15" s="30"/>
      <c r="AGU15" s="30"/>
      <c r="AGV15" s="30"/>
      <c r="AGW15" s="30"/>
      <c r="AGX15" s="30"/>
      <c r="AGY15" s="30"/>
      <c r="AGZ15" s="30"/>
      <c r="AHA15" s="30"/>
      <c r="AHB15" s="30"/>
      <c r="AHC15" s="30"/>
      <c r="AHD15" s="30"/>
      <c r="AHE15" s="30"/>
      <c r="AHF15" s="30"/>
      <c r="AHG15" s="30"/>
      <c r="AHH15" s="30"/>
      <c r="AHI15" s="30"/>
      <c r="AHJ15" s="30"/>
      <c r="AHK15" s="30"/>
      <c r="AHL15" s="30"/>
      <c r="AHM15" s="30"/>
      <c r="AHN15" s="30"/>
      <c r="AHO15" s="30"/>
      <c r="AHP15" s="30"/>
      <c r="AHQ15" s="30"/>
      <c r="AHR15" s="30"/>
      <c r="AHS15" s="30"/>
      <c r="AHT15" s="30"/>
      <c r="AHU15" s="30"/>
      <c r="AHV15" s="30"/>
      <c r="AHW15" s="30"/>
      <c r="AHX15" s="30"/>
      <c r="AHY15" s="30"/>
      <c r="AHZ15" s="30"/>
      <c r="AIA15" s="30"/>
      <c r="AIB15" s="30"/>
      <c r="AIC15" s="30"/>
      <c r="AID15" s="30"/>
      <c r="AIE15" s="30"/>
      <c r="AIF15" s="30"/>
      <c r="AIG15" s="30"/>
      <c r="AIH15" s="30"/>
      <c r="AII15" s="30"/>
      <c r="AIJ15" s="30"/>
      <c r="AIK15" s="30"/>
      <c r="AIL15" s="30"/>
      <c r="AIM15" s="30"/>
      <c r="AIN15" s="30"/>
      <c r="AIO15" s="30"/>
      <c r="AIP15" s="30"/>
      <c r="AIQ15" s="30"/>
      <c r="AIR15" s="30"/>
      <c r="AIS15" s="30"/>
      <c r="AIT15" s="30"/>
      <c r="AIU15" s="30"/>
      <c r="AIV15" s="30"/>
      <c r="AIW15" s="30"/>
      <c r="AIX15" s="30"/>
      <c r="AIY15" s="30"/>
      <c r="AIZ15" s="30"/>
      <c r="AJA15" s="30"/>
      <c r="AJB15" s="30"/>
      <c r="AJC15" s="30"/>
      <c r="AJD15" s="30"/>
      <c r="AJE15" s="30"/>
      <c r="AJF15" s="30"/>
      <c r="AJG15" s="30"/>
      <c r="AJH15" s="30"/>
      <c r="AJI15" s="30"/>
      <c r="AJJ15" s="30"/>
      <c r="AJK15" s="30"/>
      <c r="AJL15" s="30"/>
      <c r="AJM15" s="30"/>
      <c r="AJN15" s="30"/>
      <c r="AJO15" s="30"/>
      <c r="AJP15" s="30"/>
      <c r="AJQ15" s="30"/>
      <c r="AJR15" s="30"/>
      <c r="AJS15" s="30"/>
      <c r="AJT15" s="30"/>
      <c r="AJU15" s="30"/>
      <c r="AJV15" s="30"/>
      <c r="AJW15" s="30"/>
      <c r="AJX15" s="30"/>
      <c r="AJY15" s="30"/>
      <c r="AJZ15" s="30"/>
      <c r="AKA15" s="30"/>
      <c r="AKB15" s="30"/>
      <c r="AKC15" s="30"/>
      <c r="AKD15" s="30"/>
      <c r="AKE15" s="30"/>
      <c r="AKF15" s="30"/>
      <c r="AKG15" s="30"/>
      <c r="AKH15" s="30"/>
      <c r="AKI15" s="30"/>
      <c r="AKJ15" s="30"/>
      <c r="AKK15" s="30"/>
      <c r="AKL15" s="30"/>
      <c r="AKM15" s="30"/>
      <c r="AKN15" s="30"/>
      <c r="AKO15" s="30"/>
      <c r="AKP15" s="30"/>
      <c r="AKQ15" s="30"/>
      <c r="AKR15" s="30"/>
      <c r="AKS15" s="30"/>
      <c r="AKT15" s="30"/>
      <c r="AKU15" s="30"/>
      <c r="AKV15" s="30"/>
      <c r="AKW15" s="30"/>
      <c r="AKX15" s="30"/>
      <c r="AKY15" s="30"/>
      <c r="AKZ15" s="30"/>
      <c r="ALA15" s="30"/>
      <c r="ALB15" s="30"/>
      <c r="ALC15" s="30"/>
      <c r="ALD15" s="30"/>
      <c r="ALE15" s="30"/>
      <c r="ALF15" s="30"/>
      <c r="ALG15" s="30"/>
      <c r="ALH15" s="30"/>
      <c r="ALI15" s="30"/>
      <c r="ALJ15" s="30"/>
      <c r="ALK15" s="30"/>
      <c r="ALL15" s="30"/>
      <c r="ALM15" s="30"/>
      <c r="ALN15" s="30"/>
      <c r="ALO15" s="30"/>
      <c r="ALP15" s="30"/>
      <c r="ALQ15" s="30"/>
      <c r="ALR15" s="30"/>
      <c r="ALS15" s="30"/>
      <c r="ALT15" s="30"/>
      <c r="ALU15" s="30"/>
      <c r="ALV15" s="30"/>
      <c r="ALW15" s="30"/>
      <c r="ALX15" s="30"/>
      <c r="ALY15" s="30"/>
      <c r="ALZ15" s="30"/>
      <c r="AMA15" s="30"/>
      <c r="AMB15" s="30"/>
      <c r="AMC15" s="30"/>
      <c r="AMD15" s="30"/>
      <c r="AME15" s="30"/>
      <c r="AMF15" s="30"/>
      <c r="AMG15" s="30"/>
    </row>
    <row r="16" spans="1:1021" s="31" customFormat="1" x14ac:dyDescent="0.2">
      <c r="A16" s="9">
        <v>14</v>
      </c>
      <c r="B16" s="9" t="s">
        <v>267</v>
      </c>
      <c r="C16" s="9" t="s">
        <v>278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c r="IW16" s="30"/>
      <c r="IX16" s="30"/>
      <c r="IY16" s="30"/>
      <c r="IZ16" s="30"/>
      <c r="JA16" s="30"/>
      <c r="JB16" s="30"/>
      <c r="JC16" s="30"/>
      <c r="JD16" s="30"/>
      <c r="JE16" s="30"/>
      <c r="JF16" s="30"/>
      <c r="JG16" s="30"/>
      <c r="JH16" s="30"/>
      <c r="JI16" s="30"/>
      <c r="JJ16" s="30"/>
      <c r="JK16" s="30"/>
      <c r="JL16" s="30"/>
      <c r="JM16" s="30"/>
      <c r="JN16" s="30"/>
      <c r="JO16" s="30"/>
      <c r="JP16" s="30"/>
      <c r="JQ16" s="30"/>
      <c r="JR16" s="30"/>
      <c r="JS16" s="30"/>
      <c r="JT16" s="30"/>
      <c r="JU16" s="30"/>
      <c r="JV16" s="30"/>
      <c r="JW16" s="30"/>
      <c r="JX16" s="30"/>
      <c r="JY16" s="30"/>
      <c r="JZ16" s="30"/>
      <c r="KA16" s="30"/>
      <c r="KB16" s="30"/>
      <c r="KC16" s="30"/>
      <c r="KD16" s="30"/>
      <c r="KE16" s="30"/>
      <c r="KF16" s="30"/>
      <c r="KG16" s="30"/>
      <c r="KH16" s="30"/>
      <c r="KI16" s="30"/>
      <c r="KJ16" s="30"/>
      <c r="KK16" s="30"/>
      <c r="KL16" s="30"/>
      <c r="KM16" s="30"/>
      <c r="KN16" s="30"/>
      <c r="KO16" s="30"/>
      <c r="KP16" s="30"/>
      <c r="KQ16" s="30"/>
      <c r="KR16" s="30"/>
      <c r="KS16" s="30"/>
      <c r="KT16" s="30"/>
      <c r="KU16" s="30"/>
      <c r="KV16" s="30"/>
      <c r="KW16" s="30"/>
      <c r="KX16" s="30"/>
      <c r="KY16" s="30"/>
      <c r="KZ16" s="30"/>
      <c r="LA16" s="30"/>
      <c r="LB16" s="30"/>
      <c r="LC16" s="30"/>
      <c r="LD16" s="30"/>
      <c r="LE16" s="30"/>
      <c r="LF16" s="30"/>
      <c r="LG16" s="30"/>
      <c r="LH16" s="30"/>
      <c r="LI16" s="30"/>
      <c r="LJ16" s="30"/>
      <c r="LK16" s="30"/>
      <c r="LL16" s="30"/>
      <c r="LM16" s="30"/>
      <c r="LN16" s="30"/>
      <c r="LO16" s="30"/>
      <c r="LP16" s="30"/>
      <c r="LQ16" s="30"/>
      <c r="LR16" s="30"/>
      <c r="LS16" s="30"/>
      <c r="LT16" s="30"/>
      <c r="LU16" s="30"/>
      <c r="LV16" s="30"/>
      <c r="LW16" s="30"/>
      <c r="LX16" s="30"/>
      <c r="LY16" s="30"/>
      <c r="LZ16" s="30"/>
      <c r="MA16" s="30"/>
      <c r="MB16" s="30"/>
      <c r="MC16" s="30"/>
      <c r="MD16" s="30"/>
      <c r="ME16" s="30"/>
      <c r="MF16" s="30"/>
      <c r="MG16" s="30"/>
      <c r="MH16" s="30"/>
      <c r="MI16" s="30"/>
      <c r="MJ16" s="30"/>
      <c r="MK16" s="30"/>
      <c r="ML16" s="30"/>
      <c r="MM16" s="30"/>
      <c r="MN16" s="30"/>
      <c r="MO16" s="30"/>
      <c r="MP16" s="30"/>
      <c r="MQ16" s="30"/>
      <c r="MR16" s="30"/>
      <c r="MS16" s="30"/>
      <c r="MT16" s="30"/>
      <c r="MU16" s="30"/>
      <c r="MV16" s="30"/>
      <c r="MW16" s="30"/>
      <c r="MX16" s="30"/>
      <c r="MY16" s="30"/>
      <c r="MZ16" s="30"/>
      <c r="NA16" s="30"/>
      <c r="NB16" s="30"/>
      <c r="NC16" s="30"/>
      <c r="ND16" s="30"/>
      <c r="NE16" s="30"/>
      <c r="NF16" s="30"/>
      <c r="NG16" s="30"/>
      <c r="NH16" s="30"/>
      <c r="NI16" s="30"/>
      <c r="NJ16" s="30"/>
      <c r="NK16" s="30"/>
      <c r="NL16" s="30"/>
      <c r="NM16" s="30"/>
      <c r="NN16" s="30"/>
      <c r="NO16" s="30"/>
      <c r="NP16" s="30"/>
      <c r="NQ16" s="30"/>
      <c r="NR16" s="30"/>
      <c r="NS16" s="30"/>
      <c r="NT16" s="30"/>
      <c r="NU16" s="30"/>
      <c r="NV16" s="30"/>
      <c r="NW16" s="30"/>
      <c r="NX16" s="30"/>
      <c r="NY16" s="30"/>
      <c r="NZ16" s="30"/>
      <c r="OA16" s="30"/>
      <c r="OB16" s="30"/>
      <c r="OC16" s="30"/>
      <c r="OD16" s="30"/>
      <c r="OE16" s="30"/>
      <c r="OF16" s="30"/>
      <c r="OG16" s="30"/>
      <c r="OH16" s="30"/>
      <c r="OI16" s="30"/>
      <c r="OJ16" s="30"/>
      <c r="OK16" s="30"/>
      <c r="OL16" s="30"/>
      <c r="OM16" s="30"/>
      <c r="ON16" s="30"/>
      <c r="OO16" s="30"/>
      <c r="OP16" s="30"/>
      <c r="OQ16" s="30"/>
      <c r="OR16" s="30"/>
      <c r="OS16" s="30"/>
      <c r="OT16" s="30"/>
      <c r="OU16" s="30"/>
      <c r="OV16" s="30"/>
      <c r="OW16" s="30"/>
      <c r="OX16" s="30"/>
      <c r="OY16" s="30"/>
      <c r="OZ16" s="30"/>
      <c r="PA16" s="30"/>
      <c r="PB16" s="30"/>
      <c r="PC16" s="30"/>
      <c r="PD16" s="30"/>
      <c r="PE16" s="30"/>
      <c r="PF16" s="30"/>
      <c r="PG16" s="30"/>
      <c r="PH16" s="30"/>
      <c r="PI16" s="30"/>
      <c r="PJ16" s="30"/>
      <c r="PK16" s="30"/>
      <c r="PL16" s="30"/>
      <c r="PM16" s="30"/>
      <c r="PN16" s="30"/>
      <c r="PO16" s="30"/>
      <c r="PP16" s="30"/>
      <c r="PQ16" s="30"/>
      <c r="PR16" s="30"/>
      <c r="PS16" s="30"/>
      <c r="PT16" s="30"/>
      <c r="PU16" s="30"/>
      <c r="PV16" s="30"/>
      <c r="PW16" s="30"/>
      <c r="PX16" s="30"/>
      <c r="PY16" s="30"/>
      <c r="PZ16" s="30"/>
      <c r="QA16" s="30"/>
      <c r="QB16" s="30"/>
      <c r="QC16" s="30"/>
      <c r="QD16" s="30"/>
      <c r="QE16" s="30"/>
      <c r="QF16" s="30"/>
      <c r="QG16" s="30"/>
      <c r="QH16" s="30"/>
      <c r="QI16" s="30"/>
      <c r="QJ16" s="30"/>
      <c r="QK16" s="30"/>
      <c r="QL16" s="30"/>
      <c r="QM16" s="30"/>
      <c r="QN16" s="30"/>
      <c r="QO16" s="30"/>
      <c r="QP16" s="30"/>
      <c r="QQ16" s="30"/>
      <c r="QR16" s="30"/>
      <c r="QS16" s="30"/>
      <c r="QT16" s="30"/>
      <c r="QU16" s="30"/>
      <c r="QV16" s="30"/>
      <c r="QW16" s="30"/>
      <c r="QX16" s="30"/>
      <c r="QY16" s="30"/>
      <c r="QZ16" s="30"/>
      <c r="RA16" s="30"/>
      <c r="RB16" s="30"/>
      <c r="RC16" s="30"/>
      <c r="RD16" s="30"/>
      <c r="RE16" s="30"/>
      <c r="RF16" s="30"/>
      <c r="RG16" s="30"/>
      <c r="RH16" s="30"/>
      <c r="RI16" s="30"/>
      <c r="RJ16" s="30"/>
      <c r="RK16" s="30"/>
      <c r="RL16" s="30"/>
      <c r="RM16" s="30"/>
      <c r="RN16" s="30"/>
      <c r="RO16" s="30"/>
      <c r="RP16" s="30"/>
      <c r="RQ16" s="30"/>
      <c r="RR16" s="30"/>
      <c r="RS16" s="30"/>
      <c r="RT16" s="30"/>
      <c r="RU16" s="30"/>
      <c r="RV16" s="30"/>
      <c r="RW16" s="30"/>
      <c r="RX16" s="30"/>
      <c r="RY16" s="30"/>
      <c r="RZ16" s="30"/>
      <c r="SA16" s="30"/>
      <c r="SB16" s="30"/>
      <c r="SC16" s="30"/>
      <c r="SD16" s="30"/>
      <c r="SE16" s="30"/>
      <c r="SF16" s="30"/>
      <c r="SG16" s="30"/>
      <c r="SH16" s="30"/>
      <c r="SI16" s="30"/>
      <c r="SJ16" s="30"/>
      <c r="SK16" s="30"/>
      <c r="SL16" s="30"/>
      <c r="SM16" s="30"/>
      <c r="SN16" s="30"/>
      <c r="SO16" s="30"/>
      <c r="SP16" s="30"/>
      <c r="SQ16" s="30"/>
      <c r="SR16" s="30"/>
      <c r="SS16" s="30"/>
      <c r="ST16" s="30"/>
      <c r="SU16" s="30"/>
      <c r="SV16" s="30"/>
      <c r="SW16" s="30"/>
      <c r="SX16" s="30"/>
      <c r="SY16" s="30"/>
      <c r="SZ16" s="30"/>
      <c r="TA16" s="30"/>
      <c r="TB16" s="30"/>
      <c r="TC16" s="30"/>
      <c r="TD16" s="30"/>
      <c r="TE16" s="30"/>
      <c r="TF16" s="30"/>
      <c r="TG16" s="30"/>
      <c r="TH16" s="30"/>
      <c r="TI16" s="30"/>
      <c r="TJ16" s="30"/>
      <c r="TK16" s="30"/>
      <c r="TL16" s="30"/>
      <c r="TM16" s="30"/>
      <c r="TN16" s="30"/>
      <c r="TO16" s="30"/>
      <c r="TP16" s="30"/>
      <c r="TQ16" s="30"/>
      <c r="TR16" s="30"/>
      <c r="TS16" s="30"/>
      <c r="TT16" s="30"/>
      <c r="TU16" s="30"/>
      <c r="TV16" s="30"/>
      <c r="TW16" s="30"/>
      <c r="TX16" s="30"/>
      <c r="TY16" s="30"/>
      <c r="TZ16" s="30"/>
      <c r="UA16" s="30"/>
      <c r="UB16" s="30"/>
      <c r="UC16" s="30"/>
      <c r="UD16" s="30"/>
      <c r="UE16" s="30"/>
      <c r="UF16" s="30"/>
      <c r="UG16" s="30"/>
      <c r="UH16" s="30"/>
      <c r="UI16" s="30"/>
      <c r="UJ16" s="30"/>
      <c r="UK16" s="30"/>
      <c r="UL16" s="30"/>
      <c r="UM16" s="30"/>
      <c r="UN16" s="30"/>
      <c r="UO16" s="30"/>
      <c r="UP16" s="30"/>
      <c r="UQ16" s="30"/>
      <c r="UR16" s="30"/>
      <c r="US16" s="30"/>
      <c r="UT16" s="30"/>
      <c r="UU16" s="30"/>
      <c r="UV16" s="30"/>
      <c r="UW16" s="30"/>
      <c r="UX16" s="30"/>
      <c r="UY16" s="30"/>
      <c r="UZ16" s="30"/>
      <c r="VA16" s="30"/>
      <c r="VB16" s="30"/>
      <c r="VC16" s="30"/>
      <c r="VD16" s="30"/>
      <c r="VE16" s="30"/>
      <c r="VF16" s="30"/>
      <c r="VG16" s="30"/>
      <c r="VH16" s="30"/>
      <c r="VI16" s="30"/>
      <c r="VJ16" s="30"/>
      <c r="VK16" s="30"/>
      <c r="VL16" s="30"/>
      <c r="VM16" s="30"/>
      <c r="VN16" s="30"/>
      <c r="VO16" s="30"/>
      <c r="VP16" s="30"/>
      <c r="VQ16" s="30"/>
      <c r="VR16" s="30"/>
      <c r="VS16" s="30"/>
      <c r="VT16" s="30"/>
      <c r="VU16" s="30"/>
      <c r="VV16" s="30"/>
      <c r="VW16" s="30"/>
      <c r="VX16" s="30"/>
      <c r="VY16" s="30"/>
      <c r="VZ16" s="30"/>
      <c r="WA16" s="30"/>
      <c r="WB16" s="30"/>
      <c r="WC16" s="30"/>
      <c r="WD16" s="30"/>
      <c r="WE16" s="30"/>
      <c r="WF16" s="30"/>
      <c r="WG16" s="30"/>
      <c r="WH16" s="30"/>
      <c r="WI16" s="30"/>
      <c r="WJ16" s="30"/>
      <c r="WK16" s="30"/>
      <c r="WL16" s="30"/>
      <c r="WM16" s="30"/>
      <c r="WN16" s="30"/>
      <c r="WO16" s="30"/>
      <c r="WP16" s="30"/>
      <c r="WQ16" s="30"/>
      <c r="WR16" s="30"/>
      <c r="WS16" s="30"/>
      <c r="WT16" s="30"/>
      <c r="WU16" s="30"/>
      <c r="WV16" s="30"/>
      <c r="WW16" s="30"/>
      <c r="WX16" s="30"/>
      <c r="WY16" s="30"/>
      <c r="WZ16" s="30"/>
      <c r="XA16" s="30"/>
      <c r="XB16" s="30"/>
      <c r="XC16" s="30"/>
      <c r="XD16" s="30"/>
      <c r="XE16" s="30"/>
      <c r="XF16" s="30"/>
      <c r="XG16" s="30"/>
      <c r="XH16" s="30"/>
      <c r="XI16" s="30"/>
      <c r="XJ16" s="30"/>
      <c r="XK16" s="30"/>
      <c r="XL16" s="30"/>
      <c r="XM16" s="30"/>
      <c r="XN16" s="30"/>
      <c r="XO16" s="30"/>
      <c r="XP16" s="30"/>
      <c r="XQ16" s="30"/>
      <c r="XR16" s="30"/>
      <c r="XS16" s="30"/>
      <c r="XT16" s="30"/>
      <c r="XU16" s="30"/>
      <c r="XV16" s="30"/>
      <c r="XW16" s="30"/>
      <c r="XX16" s="30"/>
      <c r="XY16" s="30"/>
      <c r="XZ16" s="30"/>
      <c r="YA16" s="30"/>
      <c r="YB16" s="30"/>
      <c r="YC16" s="30"/>
      <c r="YD16" s="30"/>
      <c r="YE16" s="30"/>
      <c r="YF16" s="30"/>
      <c r="YG16" s="30"/>
      <c r="YH16" s="30"/>
      <c r="YI16" s="30"/>
      <c r="YJ16" s="30"/>
      <c r="YK16" s="30"/>
      <c r="YL16" s="30"/>
      <c r="YM16" s="30"/>
      <c r="YN16" s="30"/>
      <c r="YO16" s="30"/>
      <c r="YP16" s="30"/>
      <c r="YQ16" s="30"/>
      <c r="YR16" s="30"/>
      <c r="YS16" s="30"/>
      <c r="YT16" s="30"/>
      <c r="YU16" s="30"/>
      <c r="YV16" s="30"/>
      <c r="YW16" s="30"/>
      <c r="YX16" s="30"/>
      <c r="YY16" s="30"/>
      <c r="YZ16" s="30"/>
      <c r="ZA16" s="30"/>
      <c r="ZB16" s="30"/>
      <c r="ZC16" s="30"/>
      <c r="ZD16" s="30"/>
      <c r="ZE16" s="30"/>
      <c r="ZF16" s="30"/>
      <c r="ZG16" s="30"/>
      <c r="ZH16" s="30"/>
      <c r="ZI16" s="30"/>
      <c r="ZJ16" s="30"/>
      <c r="ZK16" s="30"/>
      <c r="ZL16" s="30"/>
      <c r="ZM16" s="30"/>
      <c r="ZN16" s="30"/>
      <c r="ZO16" s="30"/>
      <c r="ZP16" s="30"/>
      <c r="ZQ16" s="30"/>
      <c r="ZR16" s="30"/>
      <c r="ZS16" s="30"/>
      <c r="ZT16" s="30"/>
      <c r="ZU16" s="30"/>
      <c r="ZV16" s="30"/>
      <c r="ZW16" s="30"/>
      <c r="ZX16" s="30"/>
      <c r="ZY16" s="30"/>
      <c r="ZZ16" s="30"/>
      <c r="AAA16" s="30"/>
      <c r="AAB16" s="30"/>
      <c r="AAC16" s="30"/>
      <c r="AAD16" s="30"/>
      <c r="AAE16" s="30"/>
      <c r="AAF16" s="30"/>
      <c r="AAG16" s="30"/>
      <c r="AAH16" s="30"/>
      <c r="AAI16" s="30"/>
      <c r="AAJ16" s="30"/>
      <c r="AAK16" s="30"/>
      <c r="AAL16" s="30"/>
      <c r="AAM16" s="30"/>
      <c r="AAN16" s="30"/>
      <c r="AAO16" s="30"/>
      <c r="AAP16" s="30"/>
      <c r="AAQ16" s="30"/>
      <c r="AAR16" s="30"/>
      <c r="AAS16" s="30"/>
      <c r="AAT16" s="30"/>
      <c r="AAU16" s="30"/>
      <c r="AAV16" s="30"/>
      <c r="AAW16" s="30"/>
      <c r="AAX16" s="30"/>
      <c r="AAY16" s="30"/>
      <c r="AAZ16" s="30"/>
      <c r="ABA16" s="30"/>
      <c r="ABB16" s="30"/>
      <c r="ABC16" s="30"/>
      <c r="ABD16" s="30"/>
      <c r="ABE16" s="30"/>
      <c r="ABF16" s="30"/>
      <c r="ABG16" s="30"/>
      <c r="ABH16" s="30"/>
      <c r="ABI16" s="30"/>
      <c r="ABJ16" s="30"/>
      <c r="ABK16" s="30"/>
      <c r="ABL16" s="30"/>
      <c r="ABM16" s="30"/>
      <c r="ABN16" s="30"/>
      <c r="ABO16" s="30"/>
      <c r="ABP16" s="30"/>
      <c r="ABQ16" s="30"/>
      <c r="ABR16" s="30"/>
      <c r="ABS16" s="30"/>
      <c r="ABT16" s="30"/>
      <c r="ABU16" s="30"/>
      <c r="ABV16" s="30"/>
      <c r="ABW16" s="30"/>
      <c r="ABX16" s="30"/>
      <c r="ABY16" s="30"/>
      <c r="ABZ16" s="30"/>
      <c r="ACA16" s="30"/>
      <c r="ACB16" s="30"/>
      <c r="ACC16" s="30"/>
      <c r="ACD16" s="30"/>
      <c r="ACE16" s="30"/>
      <c r="ACF16" s="30"/>
      <c r="ACG16" s="30"/>
      <c r="ACH16" s="30"/>
      <c r="ACI16" s="30"/>
      <c r="ACJ16" s="30"/>
      <c r="ACK16" s="30"/>
      <c r="ACL16" s="30"/>
      <c r="ACM16" s="30"/>
      <c r="ACN16" s="30"/>
      <c r="ACO16" s="30"/>
      <c r="ACP16" s="30"/>
      <c r="ACQ16" s="30"/>
      <c r="ACR16" s="30"/>
      <c r="ACS16" s="30"/>
      <c r="ACT16" s="30"/>
      <c r="ACU16" s="30"/>
      <c r="ACV16" s="30"/>
      <c r="ACW16" s="30"/>
      <c r="ACX16" s="30"/>
      <c r="ACY16" s="30"/>
      <c r="ACZ16" s="30"/>
      <c r="ADA16" s="30"/>
      <c r="ADB16" s="30"/>
      <c r="ADC16" s="30"/>
      <c r="ADD16" s="30"/>
      <c r="ADE16" s="30"/>
      <c r="ADF16" s="30"/>
      <c r="ADG16" s="30"/>
      <c r="ADH16" s="30"/>
      <c r="ADI16" s="30"/>
      <c r="ADJ16" s="30"/>
      <c r="ADK16" s="30"/>
      <c r="ADL16" s="30"/>
      <c r="ADM16" s="30"/>
      <c r="ADN16" s="30"/>
      <c r="ADO16" s="30"/>
      <c r="ADP16" s="30"/>
      <c r="ADQ16" s="30"/>
      <c r="ADR16" s="30"/>
      <c r="ADS16" s="30"/>
      <c r="ADT16" s="30"/>
      <c r="ADU16" s="30"/>
      <c r="ADV16" s="30"/>
      <c r="ADW16" s="30"/>
      <c r="ADX16" s="30"/>
      <c r="ADY16" s="30"/>
      <c r="ADZ16" s="30"/>
      <c r="AEA16" s="30"/>
      <c r="AEB16" s="30"/>
      <c r="AEC16" s="30"/>
      <c r="AED16" s="30"/>
      <c r="AEE16" s="30"/>
      <c r="AEF16" s="30"/>
      <c r="AEG16" s="30"/>
      <c r="AEH16" s="30"/>
      <c r="AEI16" s="30"/>
      <c r="AEJ16" s="30"/>
      <c r="AEK16" s="30"/>
      <c r="AEL16" s="30"/>
      <c r="AEM16" s="30"/>
      <c r="AEN16" s="30"/>
      <c r="AEO16" s="30"/>
      <c r="AEP16" s="30"/>
      <c r="AEQ16" s="30"/>
      <c r="AER16" s="30"/>
      <c r="AES16" s="30"/>
      <c r="AET16" s="30"/>
      <c r="AEU16" s="30"/>
      <c r="AEV16" s="30"/>
      <c r="AEW16" s="30"/>
      <c r="AEX16" s="30"/>
      <c r="AEY16" s="30"/>
      <c r="AEZ16" s="30"/>
      <c r="AFA16" s="30"/>
      <c r="AFB16" s="30"/>
      <c r="AFC16" s="30"/>
      <c r="AFD16" s="30"/>
      <c r="AFE16" s="30"/>
      <c r="AFF16" s="30"/>
      <c r="AFG16" s="30"/>
      <c r="AFH16" s="30"/>
      <c r="AFI16" s="30"/>
      <c r="AFJ16" s="30"/>
      <c r="AFK16" s="30"/>
      <c r="AFL16" s="30"/>
      <c r="AFM16" s="30"/>
      <c r="AFN16" s="30"/>
      <c r="AFO16" s="30"/>
      <c r="AFP16" s="30"/>
      <c r="AFQ16" s="30"/>
      <c r="AFR16" s="30"/>
      <c r="AFS16" s="30"/>
      <c r="AFT16" s="30"/>
      <c r="AFU16" s="30"/>
      <c r="AFV16" s="30"/>
      <c r="AFW16" s="30"/>
      <c r="AFX16" s="30"/>
      <c r="AFY16" s="30"/>
      <c r="AFZ16" s="30"/>
      <c r="AGA16" s="30"/>
      <c r="AGB16" s="30"/>
      <c r="AGC16" s="30"/>
      <c r="AGD16" s="30"/>
      <c r="AGE16" s="30"/>
      <c r="AGF16" s="30"/>
      <c r="AGG16" s="30"/>
      <c r="AGH16" s="30"/>
      <c r="AGI16" s="30"/>
      <c r="AGJ16" s="30"/>
      <c r="AGK16" s="30"/>
      <c r="AGL16" s="30"/>
      <c r="AGM16" s="30"/>
      <c r="AGN16" s="30"/>
      <c r="AGO16" s="30"/>
      <c r="AGP16" s="30"/>
      <c r="AGQ16" s="30"/>
      <c r="AGR16" s="30"/>
      <c r="AGS16" s="30"/>
      <c r="AGT16" s="30"/>
      <c r="AGU16" s="30"/>
      <c r="AGV16" s="30"/>
      <c r="AGW16" s="30"/>
      <c r="AGX16" s="30"/>
      <c r="AGY16" s="30"/>
      <c r="AGZ16" s="30"/>
      <c r="AHA16" s="30"/>
      <c r="AHB16" s="30"/>
      <c r="AHC16" s="30"/>
      <c r="AHD16" s="30"/>
      <c r="AHE16" s="30"/>
      <c r="AHF16" s="30"/>
      <c r="AHG16" s="30"/>
      <c r="AHH16" s="30"/>
      <c r="AHI16" s="30"/>
      <c r="AHJ16" s="30"/>
      <c r="AHK16" s="30"/>
      <c r="AHL16" s="30"/>
      <c r="AHM16" s="30"/>
      <c r="AHN16" s="30"/>
      <c r="AHO16" s="30"/>
      <c r="AHP16" s="30"/>
      <c r="AHQ16" s="30"/>
      <c r="AHR16" s="30"/>
      <c r="AHS16" s="30"/>
      <c r="AHT16" s="30"/>
      <c r="AHU16" s="30"/>
      <c r="AHV16" s="30"/>
      <c r="AHW16" s="30"/>
      <c r="AHX16" s="30"/>
      <c r="AHY16" s="30"/>
      <c r="AHZ16" s="30"/>
      <c r="AIA16" s="30"/>
      <c r="AIB16" s="30"/>
      <c r="AIC16" s="30"/>
      <c r="AID16" s="30"/>
      <c r="AIE16" s="30"/>
      <c r="AIF16" s="30"/>
      <c r="AIG16" s="30"/>
      <c r="AIH16" s="30"/>
      <c r="AII16" s="30"/>
      <c r="AIJ16" s="30"/>
      <c r="AIK16" s="30"/>
      <c r="AIL16" s="30"/>
      <c r="AIM16" s="30"/>
      <c r="AIN16" s="30"/>
      <c r="AIO16" s="30"/>
      <c r="AIP16" s="30"/>
      <c r="AIQ16" s="30"/>
      <c r="AIR16" s="30"/>
      <c r="AIS16" s="30"/>
      <c r="AIT16" s="30"/>
      <c r="AIU16" s="30"/>
      <c r="AIV16" s="30"/>
      <c r="AIW16" s="30"/>
      <c r="AIX16" s="30"/>
      <c r="AIY16" s="30"/>
      <c r="AIZ16" s="30"/>
      <c r="AJA16" s="30"/>
      <c r="AJB16" s="30"/>
      <c r="AJC16" s="30"/>
      <c r="AJD16" s="30"/>
      <c r="AJE16" s="30"/>
      <c r="AJF16" s="30"/>
      <c r="AJG16" s="30"/>
      <c r="AJH16" s="30"/>
      <c r="AJI16" s="30"/>
      <c r="AJJ16" s="30"/>
      <c r="AJK16" s="30"/>
      <c r="AJL16" s="30"/>
      <c r="AJM16" s="30"/>
      <c r="AJN16" s="30"/>
      <c r="AJO16" s="30"/>
      <c r="AJP16" s="30"/>
      <c r="AJQ16" s="30"/>
      <c r="AJR16" s="30"/>
      <c r="AJS16" s="30"/>
      <c r="AJT16" s="30"/>
      <c r="AJU16" s="30"/>
      <c r="AJV16" s="30"/>
      <c r="AJW16" s="30"/>
      <c r="AJX16" s="30"/>
      <c r="AJY16" s="30"/>
      <c r="AJZ16" s="30"/>
      <c r="AKA16" s="30"/>
      <c r="AKB16" s="30"/>
      <c r="AKC16" s="30"/>
      <c r="AKD16" s="30"/>
      <c r="AKE16" s="30"/>
      <c r="AKF16" s="30"/>
      <c r="AKG16" s="30"/>
      <c r="AKH16" s="30"/>
      <c r="AKI16" s="30"/>
      <c r="AKJ16" s="30"/>
      <c r="AKK16" s="30"/>
      <c r="AKL16" s="30"/>
      <c r="AKM16" s="30"/>
      <c r="AKN16" s="30"/>
      <c r="AKO16" s="30"/>
      <c r="AKP16" s="30"/>
      <c r="AKQ16" s="30"/>
      <c r="AKR16" s="30"/>
      <c r="AKS16" s="30"/>
      <c r="AKT16" s="30"/>
      <c r="AKU16" s="30"/>
      <c r="AKV16" s="30"/>
      <c r="AKW16" s="30"/>
      <c r="AKX16" s="30"/>
      <c r="AKY16" s="30"/>
      <c r="AKZ16" s="30"/>
      <c r="ALA16" s="30"/>
      <c r="ALB16" s="30"/>
      <c r="ALC16" s="30"/>
      <c r="ALD16" s="30"/>
      <c r="ALE16" s="30"/>
      <c r="ALF16" s="30"/>
      <c r="ALG16" s="30"/>
      <c r="ALH16" s="30"/>
      <c r="ALI16" s="30"/>
      <c r="ALJ16" s="30"/>
      <c r="ALK16" s="30"/>
      <c r="ALL16" s="30"/>
      <c r="ALM16" s="30"/>
      <c r="ALN16" s="30"/>
      <c r="ALO16" s="30"/>
      <c r="ALP16" s="30"/>
      <c r="ALQ16" s="30"/>
      <c r="ALR16" s="30"/>
      <c r="ALS16" s="30"/>
      <c r="ALT16" s="30"/>
      <c r="ALU16" s="30"/>
      <c r="ALV16" s="30"/>
      <c r="ALW16" s="30"/>
      <c r="ALX16" s="30"/>
      <c r="ALY16" s="30"/>
      <c r="ALZ16" s="30"/>
      <c r="AMA16" s="30"/>
      <c r="AMB16" s="30"/>
      <c r="AMC16" s="30"/>
      <c r="AMD16" s="30"/>
      <c r="AME16" s="30"/>
      <c r="AMF16" s="30"/>
      <c r="AMG16" s="30"/>
    </row>
    <row r="17" spans="1:1021" x14ac:dyDescent="0.2">
      <c r="A17" s="2">
        <v>15</v>
      </c>
      <c r="B17" s="2" t="s">
        <v>265</v>
      </c>
      <c r="C17" s="2" t="s">
        <v>279</v>
      </c>
    </row>
    <row r="18" spans="1:1021" x14ac:dyDescent="0.2">
      <c r="A18" s="2">
        <v>16</v>
      </c>
      <c r="B18" s="2" t="s">
        <v>265</v>
      </c>
      <c r="C18" s="2" t="s">
        <v>280</v>
      </c>
    </row>
    <row r="19" spans="1:1021" x14ac:dyDescent="0.2">
      <c r="A19" s="2">
        <v>17</v>
      </c>
      <c r="B19" s="2" t="s">
        <v>265</v>
      </c>
      <c r="C19" s="2" t="s">
        <v>281</v>
      </c>
    </row>
    <row r="20" spans="1:1021" x14ac:dyDescent="0.2">
      <c r="A20" s="2">
        <v>18</v>
      </c>
      <c r="B20" s="2" t="s">
        <v>265</v>
      </c>
      <c r="C20" s="2" t="s">
        <v>282</v>
      </c>
    </row>
    <row r="21" spans="1:1021" s="32" customFormat="1" x14ac:dyDescent="0.2">
      <c r="A21" s="9">
        <v>19</v>
      </c>
      <c r="B21" s="9" t="s">
        <v>265</v>
      </c>
      <c r="C21" s="9" t="s">
        <v>283</v>
      </c>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row>
    <row r="22" spans="1:1021" s="32" customFormat="1" x14ac:dyDescent="0.2">
      <c r="A22" s="9">
        <v>98</v>
      </c>
      <c r="B22" s="9" t="s">
        <v>267</v>
      </c>
      <c r="C22" s="9" t="s">
        <v>284</v>
      </c>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row>
    <row r="23" spans="1:1021" s="32" customFormat="1" x14ac:dyDescent="0.2">
      <c r="A23" s="9">
        <v>99</v>
      </c>
      <c r="B23" s="9" t="s">
        <v>265</v>
      </c>
      <c r="C23" s="9" t="s">
        <v>285</v>
      </c>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9"/>
      <c r="ACA23" s="9"/>
      <c r="ACB23" s="9"/>
      <c r="ACC23" s="9"/>
      <c r="ACD23" s="9"/>
      <c r="ACE23" s="9"/>
      <c r="ACF23" s="9"/>
      <c r="ACG23" s="9"/>
      <c r="ACH23" s="9"/>
      <c r="ACI23" s="9"/>
      <c r="ACJ23" s="9"/>
      <c r="ACK23" s="9"/>
      <c r="ACL23" s="9"/>
      <c r="ACM23" s="9"/>
      <c r="ACN23" s="9"/>
      <c r="ACO23" s="9"/>
      <c r="ACP23" s="9"/>
      <c r="ACQ23" s="9"/>
      <c r="ACR23" s="9"/>
      <c r="ACS23" s="9"/>
      <c r="ACT23" s="9"/>
      <c r="ACU23" s="9"/>
      <c r="ACV23" s="9"/>
      <c r="ACW23" s="9"/>
      <c r="ACX23" s="9"/>
      <c r="ACY23" s="9"/>
      <c r="ACZ23" s="9"/>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c r="AEK23" s="9"/>
      <c r="AEL23" s="9"/>
      <c r="AEM23" s="9"/>
      <c r="AEN23" s="9"/>
      <c r="AEO23" s="9"/>
      <c r="AEP23" s="9"/>
      <c r="AEQ23" s="9"/>
      <c r="AER23" s="9"/>
      <c r="AES23" s="9"/>
      <c r="AET23" s="9"/>
      <c r="AEU23" s="9"/>
      <c r="AEV23" s="9"/>
      <c r="AEW23" s="9"/>
      <c r="AEX23" s="9"/>
      <c r="AEY23" s="9"/>
      <c r="AEZ23" s="9"/>
      <c r="AFA23" s="9"/>
      <c r="AFB23" s="9"/>
      <c r="AFC23" s="9"/>
      <c r="AFD23" s="9"/>
      <c r="AFE23" s="9"/>
      <c r="AFF23" s="9"/>
      <c r="AFG23" s="9"/>
      <c r="AFH23" s="9"/>
      <c r="AFI23" s="9"/>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row>
    <row r="24" spans="1:1021" s="37" customFormat="1" x14ac:dyDescent="0.2">
      <c r="A24" s="33">
        <v>20</v>
      </c>
      <c r="B24" s="34" t="s">
        <v>14</v>
      </c>
      <c r="C24" s="35" t="s">
        <v>286</v>
      </c>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36"/>
      <c r="HW24" s="36"/>
      <c r="HX24" s="36"/>
      <c r="HY24" s="36"/>
      <c r="HZ24" s="36"/>
      <c r="IA24" s="36"/>
      <c r="IB24" s="36"/>
      <c r="IC24" s="36"/>
      <c r="ID24" s="36"/>
      <c r="IE24" s="36"/>
      <c r="IF24" s="36"/>
      <c r="IG24" s="36"/>
      <c r="IH24" s="36"/>
      <c r="II24" s="36"/>
      <c r="IJ24" s="36"/>
      <c r="IK24" s="36"/>
      <c r="IL24" s="36"/>
      <c r="IM24" s="36"/>
      <c r="IN24" s="36"/>
      <c r="IO24" s="36"/>
      <c r="IP24" s="36"/>
      <c r="IQ24" s="36"/>
      <c r="IR24" s="36"/>
      <c r="IS24" s="36"/>
      <c r="IT24" s="36"/>
      <c r="IU24" s="36"/>
      <c r="IV24" s="36"/>
      <c r="IW24" s="36"/>
      <c r="IX24" s="36"/>
      <c r="IY24" s="36"/>
      <c r="IZ24" s="36"/>
      <c r="JA24" s="36"/>
      <c r="JB24" s="36"/>
      <c r="JC24" s="36"/>
      <c r="JD24" s="36"/>
      <c r="JE24" s="36"/>
      <c r="JF24" s="36"/>
      <c r="JG24" s="36"/>
      <c r="JH24" s="36"/>
      <c r="JI24" s="36"/>
      <c r="JJ24" s="36"/>
      <c r="JK24" s="36"/>
      <c r="JL24" s="36"/>
      <c r="JM24" s="36"/>
      <c r="JN24" s="36"/>
      <c r="JO24" s="36"/>
      <c r="JP24" s="36"/>
      <c r="JQ24" s="36"/>
      <c r="JR24" s="36"/>
      <c r="JS24" s="36"/>
      <c r="JT24" s="36"/>
      <c r="JU24" s="36"/>
      <c r="JV24" s="36"/>
      <c r="JW24" s="36"/>
      <c r="JX24" s="36"/>
      <c r="JY24" s="36"/>
      <c r="JZ24" s="36"/>
      <c r="KA24" s="36"/>
      <c r="KB24" s="36"/>
      <c r="KC24" s="36"/>
      <c r="KD24" s="36"/>
      <c r="KE24" s="36"/>
      <c r="KF24" s="36"/>
      <c r="KG24" s="36"/>
      <c r="KH24" s="36"/>
      <c r="KI24" s="36"/>
      <c r="KJ24" s="36"/>
      <c r="KK24" s="36"/>
      <c r="KL24" s="36"/>
      <c r="KM24" s="36"/>
      <c r="KN24" s="36"/>
      <c r="KO24" s="36"/>
      <c r="KP24" s="36"/>
      <c r="KQ24" s="36"/>
      <c r="KR24" s="36"/>
      <c r="KS24" s="36"/>
      <c r="KT24" s="36"/>
      <c r="KU24" s="36"/>
      <c r="KV24" s="36"/>
      <c r="KW24" s="36"/>
      <c r="KX24" s="36"/>
      <c r="KY24" s="36"/>
      <c r="KZ24" s="36"/>
      <c r="LA24" s="36"/>
      <c r="LB24" s="36"/>
      <c r="LC24" s="36"/>
      <c r="LD24" s="36"/>
      <c r="LE24" s="36"/>
      <c r="LF24" s="36"/>
      <c r="LG24" s="36"/>
      <c r="LH24" s="36"/>
      <c r="LI24" s="36"/>
      <c r="LJ24" s="36"/>
      <c r="LK24" s="36"/>
      <c r="LL24" s="36"/>
      <c r="LM24" s="36"/>
      <c r="LN24" s="36"/>
      <c r="LO24" s="36"/>
      <c r="LP24" s="36"/>
      <c r="LQ24" s="36"/>
      <c r="LR24" s="36"/>
      <c r="LS24" s="36"/>
      <c r="LT24" s="36"/>
      <c r="LU24" s="36"/>
      <c r="LV24" s="36"/>
      <c r="LW24" s="36"/>
      <c r="LX24" s="36"/>
      <c r="LY24" s="36"/>
      <c r="LZ24" s="36"/>
      <c r="MA24" s="36"/>
      <c r="MB24" s="36"/>
      <c r="MC24" s="36"/>
      <c r="MD24" s="36"/>
      <c r="ME24" s="36"/>
      <c r="MF24" s="36"/>
      <c r="MG24" s="36"/>
      <c r="MH24" s="36"/>
      <c r="MI24" s="36"/>
      <c r="MJ24" s="36"/>
      <c r="MK24" s="36"/>
      <c r="ML24" s="36"/>
      <c r="MM24" s="36"/>
      <c r="MN24" s="36"/>
      <c r="MO24" s="36"/>
      <c r="MP24" s="36"/>
      <c r="MQ24" s="36"/>
      <c r="MR24" s="36"/>
      <c r="MS24" s="36"/>
      <c r="MT24" s="36"/>
      <c r="MU24" s="36"/>
      <c r="MV24" s="36"/>
      <c r="MW24" s="36"/>
      <c r="MX24" s="36"/>
      <c r="MY24" s="36"/>
      <c r="MZ24" s="36"/>
      <c r="NA24" s="36"/>
      <c r="NB24" s="36"/>
      <c r="NC24" s="36"/>
      <c r="ND24" s="36"/>
      <c r="NE24" s="36"/>
      <c r="NF24" s="36"/>
      <c r="NG24" s="36"/>
      <c r="NH24" s="36"/>
      <c r="NI24" s="36"/>
      <c r="NJ24" s="36"/>
      <c r="NK24" s="36"/>
      <c r="NL24" s="36"/>
      <c r="NM24" s="36"/>
      <c r="NN24" s="36"/>
      <c r="NO24" s="36"/>
      <c r="NP24" s="36"/>
      <c r="NQ24" s="36"/>
      <c r="NR24" s="36"/>
      <c r="NS24" s="36"/>
      <c r="NT24" s="36"/>
      <c r="NU24" s="36"/>
      <c r="NV24" s="36"/>
      <c r="NW24" s="36"/>
      <c r="NX24" s="36"/>
      <c r="NY24" s="36"/>
      <c r="NZ24" s="36"/>
      <c r="OA24" s="36"/>
      <c r="OB24" s="36"/>
      <c r="OC24" s="36"/>
      <c r="OD24" s="36"/>
      <c r="OE24" s="36"/>
      <c r="OF24" s="36"/>
      <c r="OG24" s="36"/>
      <c r="OH24" s="36"/>
      <c r="OI24" s="36"/>
      <c r="OJ24" s="36"/>
      <c r="OK24" s="36"/>
      <c r="OL24" s="36"/>
      <c r="OM24" s="36"/>
      <c r="ON24" s="36"/>
      <c r="OO24" s="36"/>
      <c r="OP24" s="36"/>
      <c r="OQ24" s="36"/>
      <c r="OR24" s="36"/>
      <c r="OS24" s="36"/>
      <c r="OT24" s="36"/>
      <c r="OU24" s="36"/>
      <c r="OV24" s="36"/>
      <c r="OW24" s="36"/>
      <c r="OX24" s="36"/>
      <c r="OY24" s="36"/>
      <c r="OZ24" s="36"/>
      <c r="PA24" s="36"/>
      <c r="PB24" s="36"/>
      <c r="PC24" s="36"/>
      <c r="PD24" s="36"/>
      <c r="PE24" s="36"/>
      <c r="PF24" s="36"/>
      <c r="PG24" s="36"/>
      <c r="PH24" s="36"/>
      <c r="PI24" s="36"/>
      <c r="PJ24" s="36"/>
      <c r="PK24" s="36"/>
      <c r="PL24" s="36"/>
      <c r="PM24" s="36"/>
      <c r="PN24" s="36"/>
      <c r="PO24" s="36"/>
      <c r="PP24" s="36"/>
      <c r="PQ24" s="36"/>
      <c r="PR24" s="36"/>
      <c r="PS24" s="36"/>
      <c r="PT24" s="36"/>
      <c r="PU24" s="36"/>
      <c r="PV24" s="36"/>
      <c r="PW24" s="36"/>
      <c r="PX24" s="36"/>
      <c r="PY24" s="36"/>
      <c r="PZ24" s="36"/>
      <c r="QA24" s="36"/>
      <c r="QB24" s="36"/>
      <c r="QC24" s="36"/>
      <c r="QD24" s="36"/>
      <c r="QE24" s="36"/>
      <c r="QF24" s="36"/>
      <c r="QG24" s="36"/>
      <c r="QH24" s="36"/>
      <c r="QI24" s="36"/>
      <c r="QJ24" s="36"/>
      <c r="QK24" s="36"/>
      <c r="QL24" s="36"/>
      <c r="QM24" s="36"/>
      <c r="QN24" s="36"/>
      <c r="QO24" s="36"/>
      <c r="QP24" s="36"/>
      <c r="QQ24" s="36"/>
      <c r="QR24" s="36"/>
      <c r="QS24" s="36"/>
      <c r="QT24" s="36"/>
      <c r="QU24" s="36"/>
      <c r="QV24" s="36"/>
      <c r="QW24" s="36"/>
      <c r="QX24" s="36"/>
      <c r="QY24" s="36"/>
      <c r="QZ24" s="36"/>
      <c r="RA24" s="36"/>
      <c r="RB24" s="36"/>
      <c r="RC24" s="36"/>
      <c r="RD24" s="36"/>
      <c r="RE24" s="36"/>
      <c r="RF24" s="36"/>
      <c r="RG24" s="36"/>
      <c r="RH24" s="36"/>
      <c r="RI24" s="36"/>
      <c r="RJ24" s="36"/>
      <c r="RK24" s="36"/>
      <c r="RL24" s="36"/>
      <c r="RM24" s="36"/>
      <c r="RN24" s="36"/>
      <c r="RO24" s="36"/>
      <c r="RP24" s="36"/>
      <c r="RQ24" s="36"/>
      <c r="RR24" s="36"/>
      <c r="RS24" s="36"/>
      <c r="RT24" s="36"/>
      <c r="RU24" s="36"/>
      <c r="RV24" s="36"/>
      <c r="RW24" s="36"/>
      <c r="RX24" s="36"/>
      <c r="RY24" s="36"/>
      <c r="RZ24" s="36"/>
      <c r="SA24" s="36"/>
      <c r="SB24" s="36"/>
      <c r="SC24" s="36"/>
      <c r="SD24" s="36"/>
      <c r="SE24" s="36"/>
      <c r="SF24" s="36"/>
      <c r="SG24" s="36"/>
      <c r="SH24" s="36"/>
      <c r="SI24" s="36"/>
      <c r="SJ24" s="36"/>
      <c r="SK24" s="36"/>
      <c r="SL24" s="36"/>
      <c r="SM24" s="36"/>
      <c r="SN24" s="36"/>
      <c r="SO24" s="36"/>
      <c r="SP24" s="36"/>
      <c r="SQ24" s="36"/>
      <c r="SR24" s="36"/>
      <c r="SS24" s="36"/>
      <c r="ST24" s="36"/>
      <c r="SU24" s="36"/>
      <c r="SV24" s="36"/>
      <c r="SW24" s="36"/>
      <c r="SX24" s="36"/>
      <c r="SY24" s="36"/>
      <c r="SZ24" s="36"/>
      <c r="TA24" s="36"/>
      <c r="TB24" s="36"/>
      <c r="TC24" s="36"/>
      <c r="TD24" s="36"/>
      <c r="TE24" s="36"/>
      <c r="TF24" s="36"/>
      <c r="TG24" s="36"/>
      <c r="TH24" s="36"/>
      <c r="TI24" s="36"/>
      <c r="TJ24" s="36"/>
      <c r="TK24" s="36"/>
      <c r="TL24" s="36"/>
      <c r="TM24" s="36"/>
      <c r="TN24" s="36"/>
      <c r="TO24" s="36"/>
      <c r="TP24" s="36"/>
      <c r="TQ24" s="36"/>
      <c r="TR24" s="36"/>
      <c r="TS24" s="36"/>
      <c r="TT24" s="36"/>
      <c r="TU24" s="36"/>
      <c r="TV24" s="36"/>
      <c r="TW24" s="36"/>
      <c r="TX24" s="36"/>
      <c r="TY24" s="36"/>
      <c r="TZ24" s="36"/>
      <c r="UA24" s="36"/>
      <c r="UB24" s="36"/>
      <c r="UC24" s="36"/>
      <c r="UD24" s="36"/>
      <c r="UE24" s="36"/>
      <c r="UF24" s="36"/>
      <c r="UG24" s="36"/>
      <c r="UH24" s="36"/>
      <c r="UI24" s="36"/>
      <c r="UJ24" s="36"/>
      <c r="UK24" s="36"/>
      <c r="UL24" s="36"/>
      <c r="UM24" s="36"/>
      <c r="UN24" s="36"/>
      <c r="UO24" s="36"/>
      <c r="UP24" s="36"/>
      <c r="UQ24" s="36"/>
      <c r="UR24" s="36"/>
      <c r="US24" s="36"/>
      <c r="UT24" s="36"/>
      <c r="UU24" s="36"/>
      <c r="UV24" s="36"/>
      <c r="UW24" s="36"/>
      <c r="UX24" s="36"/>
      <c r="UY24" s="36"/>
      <c r="UZ24" s="36"/>
      <c r="VA24" s="36"/>
      <c r="VB24" s="36"/>
      <c r="VC24" s="36"/>
      <c r="VD24" s="36"/>
      <c r="VE24" s="36"/>
      <c r="VF24" s="36"/>
      <c r="VG24" s="36"/>
      <c r="VH24" s="36"/>
      <c r="VI24" s="36"/>
      <c r="VJ24" s="36"/>
      <c r="VK24" s="36"/>
      <c r="VL24" s="36"/>
      <c r="VM24" s="36"/>
      <c r="VN24" s="36"/>
      <c r="VO24" s="36"/>
      <c r="VP24" s="36"/>
      <c r="VQ24" s="36"/>
      <c r="VR24" s="36"/>
      <c r="VS24" s="36"/>
      <c r="VT24" s="36"/>
      <c r="VU24" s="36"/>
      <c r="VV24" s="36"/>
      <c r="VW24" s="36"/>
      <c r="VX24" s="36"/>
      <c r="VY24" s="36"/>
      <c r="VZ24" s="36"/>
      <c r="WA24" s="36"/>
      <c r="WB24" s="36"/>
      <c r="WC24" s="36"/>
      <c r="WD24" s="36"/>
      <c r="WE24" s="36"/>
      <c r="WF24" s="36"/>
      <c r="WG24" s="36"/>
      <c r="WH24" s="36"/>
      <c r="WI24" s="36"/>
      <c r="WJ24" s="36"/>
      <c r="WK24" s="36"/>
      <c r="WL24" s="36"/>
      <c r="WM24" s="36"/>
      <c r="WN24" s="36"/>
      <c r="WO24" s="36"/>
      <c r="WP24" s="36"/>
      <c r="WQ24" s="36"/>
      <c r="WR24" s="36"/>
      <c r="WS24" s="36"/>
      <c r="WT24" s="36"/>
      <c r="WU24" s="36"/>
      <c r="WV24" s="36"/>
      <c r="WW24" s="36"/>
      <c r="WX24" s="36"/>
      <c r="WY24" s="36"/>
      <c r="WZ24" s="36"/>
      <c r="XA24" s="36"/>
      <c r="XB24" s="36"/>
      <c r="XC24" s="36"/>
      <c r="XD24" s="36"/>
      <c r="XE24" s="36"/>
      <c r="XF24" s="36"/>
      <c r="XG24" s="36"/>
      <c r="XH24" s="36"/>
      <c r="XI24" s="36"/>
      <c r="XJ24" s="36"/>
      <c r="XK24" s="36"/>
      <c r="XL24" s="36"/>
      <c r="XM24" s="36"/>
      <c r="XN24" s="36"/>
      <c r="XO24" s="36"/>
      <c r="XP24" s="36"/>
      <c r="XQ24" s="36"/>
      <c r="XR24" s="36"/>
      <c r="XS24" s="36"/>
      <c r="XT24" s="36"/>
      <c r="XU24" s="36"/>
      <c r="XV24" s="36"/>
      <c r="XW24" s="36"/>
      <c r="XX24" s="36"/>
      <c r="XY24" s="36"/>
      <c r="XZ24" s="36"/>
      <c r="YA24" s="36"/>
      <c r="YB24" s="36"/>
      <c r="YC24" s="36"/>
      <c r="YD24" s="36"/>
      <c r="YE24" s="36"/>
      <c r="YF24" s="36"/>
      <c r="YG24" s="36"/>
      <c r="YH24" s="36"/>
      <c r="YI24" s="36"/>
      <c r="YJ24" s="36"/>
      <c r="YK24" s="36"/>
      <c r="YL24" s="36"/>
      <c r="YM24" s="36"/>
      <c r="YN24" s="36"/>
      <c r="YO24" s="36"/>
      <c r="YP24" s="36"/>
      <c r="YQ24" s="36"/>
      <c r="YR24" s="36"/>
      <c r="YS24" s="36"/>
      <c r="YT24" s="36"/>
      <c r="YU24" s="36"/>
      <c r="YV24" s="36"/>
      <c r="YW24" s="36"/>
      <c r="YX24" s="36"/>
      <c r="YY24" s="36"/>
      <c r="YZ24" s="36"/>
      <c r="ZA24" s="36"/>
      <c r="ZB24" s="36"/>
      <c r="ZC24" s="36"/>
      <c r="ZD24" s="36"/>
      <c r="ZE24" s="36"/>
      <c r="ZF24" s="36"/>
      <c r="ZG24" s="36"/>
      <c r="ZH24" s="36"/>
      <c r="ZI24" s="36"/>
      <c r="ZJ24" s="36"/>
      <c r="ZK24" s="36"/>
      <c r="ZL24" s="36"/>
      <c r="ZM24" s="36"/>
      <c r="ZN24" s="36"/>
      <c r="ZO24" s="36"/>
      <c r="ZP24" s="36"/>
      <c r="ZQ24" s="36"/>
      <c r="ZR24" s="36"/>
      <c r="ZS24" s="36"/>
      <c r="ZT24" s="36"/>
      <c r="ZU24" s="36"/>
      <c r="ZV24" s="36"/>
      <c r="ZW24" s="36"/>
      <c r="ZX24" s="36"/>
      <c r="ZY24" s="36"/>
      <c r="ZZ24" s="36"/>
      <c r="AAA24" s="36"/>
      <c r="AAB24" s="36"/>
      <c r="AAC24" s="36"/>
      <c r="AAD24" s="36"/>
      <c r="AAE24" s="36"/>
      <c r="AAF24" s="36"/>
      <c r="AAG24" s="36"/>
      <c r="AAH24" s="36"/>
      <c r="AAI24" s="36"/>
      <c r="AAJ24" s="36"/>
      <c r="AAK24" s="36"/>
      <c r="AAL24" s="36"/>
      <c r="AAM24" s="36"/>
      <c r="AAN24" s="36"/>
      <c r="AAO24" s="36"/>
      <c r="AAP24" s="36"/>
      <c r="AAQ24" s="36"/>
      <c r="AAR24" s="36"/>
      <c r="AAS24" s="36"/>
      <c r="AAT24" s="36"/>
      <c r="AAU24" s="36"/>
      <c r="AAV24" s="36"/>
      <c r="AAW24" s="36"/>
      <c r="AAX24" s="36"/>
      <c r="AAY24" s="36"/>
      <c r="AAZ24" s="36"/>
      <c r="ABA24" s="36"/>
      <c r="ABB24" s="36"/>
      <c r="ABC24" s="36"/>
      <c r="ABD24" s="36"/>
      <c r="ABE24" s="36"/>
      <c r="ABF24" s="36"/>
      <c r="ABG24" s="36"/>
      <c r="ABH24" s="36"/>
      <c r="ABI24" s="36"/>
      <c r="ABJ24" s="36"/>
      <c r="ABK24" s="36"/>
      <c r="ABL24" s="36"/>
      <c r="ABM24" s="36"/>
      <c r="ABN24" s="36"/>
      <c r="ABO24" s="36"/>
      <c r="ABP24" s="36"/>
      <c r="ABQ24" s="36"/>
      <c r="ABR24" s="36"/>
      <c r="ABS24" s="36"/>
      <c r="ABT24" s="36"/>
      <c r="ABU24" s="36"/>
      <c r="ABV24" s="36"/>
      <c r="ABW24" s="36"/>
      <c r="ABX24" s="36"/>
      <c r="ABY24" s="36"/>
      <c r="ABZ24" s="36"/>
      <c r="ACA24" s="36"/>
      <c r="ACB24" s="36"/>
      <c r="ACC24" s="36"/>
      <c r="ACD24" s="36"/>
      <c r="ACE24" s="36"/>
      <c r="ACF24" s="36"/>
      <c r="ACG24" s="36"/>
      <c r="ACH24" s="36"/>
      <c r="ACI24" s="36"/>
      <c r="ACJ24" s="36"/>
      <c r="ACK24" s="36"/>
      <c r="ACL24" s="36"/>
      <c r="ACM24" s="36"/>
      <c r="ACN24" s="36"/>
      <c r="ACO24" s="36"/>
      <c r="ACP24" s="36"/>
      <c r="ACQ24" s="36"/>
      <c r="ACR24" s="36"/>
      <c r="ACS24" s="36"/>
      <c r="ACT24" s="36"/>
      <c r="ACU24" s="36"/>
      <c r="ACV24" s="36"/>
      <c r="ACW24" s="36"/>
      <c r="ACX24" s="36"/>
      <c r="ACY24" s="36"/>
      <c r="ACZ24" s="36"/>
      <c r="ADA24" s="36"/>
      <c r="ADB24" s="36"/>
      <c r="ADC24" s="36"/>
      <c r="ADD24" s="36"/>
      <c r="ADE24" s="36"/>
      <c r="ADF24" s="36"/>
      <c r="ADG24" s="36"/>
      <c r="ADH24" s="36"/>
      <c r="ADI24" s="36"/>
      <c r="ADJ24" s="36"/>
      <c r="ADK24" s="36"/>
      <c r="ADL24" s="36"/>
      <c r="ADM24" s="36"/>
      <c r="ADN24" s="36"/>
      <c r="ADO24" s="36"/>
      <c r="ADP24" s="36"/>
      <c r="ADQ24" s="36"/>
      <c r="ADR24" s="36"/>
      <c r="ADS24" s="36"/>
      <c r="ADT24" s="36"/>
      <c r="ADU24" s="36"/>
      <c r="ADV24" s="36"/>
      <c r="ADW24" s="36"/>
      <c r="ADX24" s="36"/>
      <c r="ADY24" s="36"/>
      <c r="ADZ24" s="36"/>
      <c r="AEA24" s="36"/>
      <c r="AEB24" s="36"/>
      <c r="AEC24" s="36"/>
      <c r="AED24" s="36"/>
      <c r="AEE24" s="36"/>
      <c r="AEF24" s="36"/>
      <c r="AEG24" s="36"/>
      <c r="AEH24" s="36"/>
      <c r="AEI24" s="36"/>
      <c r="AEJ24" s="36"/>
      <c r="AEK24" s="36"/>
      <c r="AEL24" s="36"/>
      <c r="AEM24" s="36"/>
      <c r="AEN24" s="36"/>
      <c r="AEO24" s="36"/>
      <c r="AEP24" s="36"/>
      <c r="AEQ24" s="36"/>
      <c r="AER24" s="36"/>
      <c r="AES24" s="36"/>
      <c r="AET24" s="36"/>
      <c r="AEU24" s="36"/>
      <c r="AEV24" s="36"/>
      <c r="AEW24" s="36"/>
      <c r="AEX24" s="36"/>
      <c r="AEY24" s="36"/>
      <c r="AEZ24" s="36"/>
      <c r="AFA24" s="36"/>
      <c r="AFB24" s="36"/>
      <c r="AFC24" s="36"/>
      <c r="AFD24" s="36"/>
      <c r="AFE24" s="36"/>
      <c r="AFF24" s="36"/>
      <c r="AFG24" s="36"/>
      <c r="AFH24" s="36"/>
      <c r="AFI24" s="36"/>
      <c r="AFJ24" s="36"/>
      <c r="AFK24" s="36"/>
      <c r="AFL24" s="36"/>
      <c r="AFM24" s="36"/>
      <c r="AFN24" s="36"/>
      <c r="AFO24" s="36"/>
      <c r="AFP24" s="36"/>
      <c r="AFQ24" s="36"/>
      <c r="AFR24" s="36"/>
      <c r="AFS24" s="36"/>
      <c r="AFT24" s="36"/>
      <c r="AFU24" s="36"/>
      <c r="AFV24" s="36"/>
      <c r="AFW24" s="36"/>
      <c r="AFX24" s="36"/>
      <c r="AFY24" s="36"/>
      <c r="AFZ24" s="36"/>
      <c r="AGA24" s="36"/>
      <c r="AGB24" s="36"/>
      <c r="AGC24" s="36"/>
      <c r="AGD24" s="36"/>
      <c r="AGE24" s="36"/>
      <c r="AGF24" s="36"/>
      <c r="AGG24" s="36"/>
      <c r="AGH24" s="36"/>
      <c r="AGI24" s="36"/>
      <c r="AGJ24" s="36"/>
      <c r="AGK24" s="36"/>
      <c r="AGL24" s="36"/>
      <c r="AGM24" s="36"/>
      <c r="AGN24" s="36"/>
      <c r="AGO24" s="36"/>
      <c r="AGP24" s="36"/>
      <c r="AGQ24" s="36"/>
      <c r="AGR24" s="36"/>
      <c r="AGS24" s="36"/>
      <c r="AGT24" s="36"/>
      <c r="AGU24" s="36"/>
      <c r="AGV24" s="36"/>
      <c r="AGW24" s="36"/>
      <c r="AGX24" s="36"/>
      <c r="AGY24" s="36"/>
      <c r="AGZ24" s="36"/>
      <c r="AHA24" s="36"/>
      <c r="AHB24" s="36"/>
      <c r="AHC24" s="36"/>
      <c r="AHD24" s="36"/>
      <c r="AHE24" s="36"/>
      <c r="AHF24" s="36"/>
      <c r="AHG24" s="36"/>
      <c r="AHH24" s="36"/>
      <c r="AHI24" s="36"/>
      <c r="AHJ24" s="36"/>
      <c r="AHK24" s="36"/>
      <c r="AHL24" s="36"/>
      <c r="AHM24" s="36"/>
      <c r="AHN24" s="36"/>
      <c r="AHO24" s="36"/>
      <c r="AHP24" s="36"/>
      <c r="AHQ24" s="36"/>
      <c r="AHR24" s="36"/>
      <c r="AHS24" s="36"/>
      <c r="AHT24" s="36"/>
      <c r="AHU24" s="36"/>
      <c r="AHV24" s="36"/>
      <c r="AHW24" s="36"/>
      <c r="AHX24" s="36"/>
      <c r="AHY24" s="36"/>
      <c r="AHZ24" s="36"/>
      <c r="AIA24" s="36"/>
      <c r="AIB24" s="36"/>
      <c r="AIC24" s="36"/>
      <c r="AID24" s="36"/>
      <c r="AIE24" s="36"/>
      <c r="AIF24" s="36"/>
      <c r="AIG24" s="36"/>
      <c r="AIH24" s="36"/>
      <c r="AII24" s="36"/>
      <c r="AIJ24" s="36"/>
      <c r="AIK24" s="36"/>
      <c r="AIL24" s="36"/>
      <c r="AIM24" s="36"/>
      <c r="AIN24" s="36"/>
      <c r="AIO24" s="36"/>
      <c r="AIP24" s="36"/>
      <c r="AIQ24" s="36"/>
      <c r="AIR24" s="36"/>
      <c r="AIS24" s="36"/>
      <c r="AIT24" s="36"/>
      <c r="AIU24" s="36"/>
      <c r="AIV24" s="36"/>
      <c r="AIW24" s="36"/>
      <c r="AIX24" s="36"/>
      <c r="AIY24" s="36"/>
      <c r="AIZ24" s="36"/>
      <c r="AJA24" s="36"/>
      <c r="AJB24" s="36"/>
      <c r="AJC24" s="36"/>
      <c r="AJD24" s="36"/>
      <c r="AJE24" s="36"/>
      <c r="AJF24" s="36"/>
      <c r="AJG24" s="36"/>
      <c r="AJH24" s="36"/>
      <c r="AJI24" s="36"/>
      <c r="AJJ24" s="36"/>
      <c r="AJK24" s="36"/>
      <c r="AJL24" s="36"/>
      <c r="AJM24" s="36"/>
      <c r="AJN24" s="36"/>
      <c r="AJO24" s="36"/>
      <c r="AJP24" s="36"/>
      <c r="AJQ24" s="36"/>
      <c r="AJR24" s="36"/>
      <c r="AJS24" s="36"/>
      <c r="AJT24" s="36"/>
      <c r="AJU24" s="36"/>
      <c r="AJV24" s="36"/>
      <c r="AJW24" s="36"/>
      <c r="AJX24" s="36"/>
      <c r="AJY24" s="36"/>
      <c r="AJZ24" s="36"/>
      <c r="AKA24" s="36"/>
      <c r="AKB24" s="36"/>
      <c r="AKC24" s="36"/>
      <c r="AKD24" s="36"/>
      <c r="AKE24" s="36"/>
      <c r="AKF24" s="36"/>
      <c r="AKG24" s="36"/>
      <c r="AKH24" s="36"/>
      <c r="AKI24" s="36"/>
      <c r="AKJ24" s="36"/>
      <c r="AKK24" s="36"/>
      <c r="AKL24" s="36"/>
      <c r="AKM24" s="36"/>
      <c r="AKN24" s="36"/>
      <c r="AKO24" s="36"/>
      <c r="AKP24" s="36"/>
      <c r="AKQ24" s="36"/>
      <c r="AKR24" s="36"/>
      <c r="AKS24" s="36"/>
      <c r="AKT24" s="36"/>
      <c r="AKU24" s="36"/>
      <c r="AKV24" s="36"/>
      <c r="AKW24" s="36"/>
      <c r="AKX24" s="36"/>
      <c r="AKY24" s="36"/>
      <c r="AKZ24" s="36"/>
      <c r="ALA24" s="36"/>
      <c r="ALB24" s="36"/>
      <c r="ALC24" s="36"/>
      <c r="ALD24" s="36"/>
      <c r="ALE24" s="36"/>
      <c r="ALF24" s="36"/>
      <c r="ALG24" s="36"/>
      <c r="ALH24" s="36"/>
      <c r="ALI24" s="36"/>
      <c r="ALJ24" s="36"/>
      <c r="ALK24" s="36"/>
      <c r="ALL24" s="36"/>
      <c r="ALM24" s="36"/>
      <c r="ALN24" s="36"/>
      <c r="ALO24" s="36"/>
      <c r="ALP24" s="36"/>
      <c r="ALQ24" s="36"/>
      <c r="ALR24" s="36"/>
      <c r="ALS24" s="36"/>
      <c r="ALT24" s="36"/>
      <c r="ALU24" s="36"/>
      <c r="ALV24" s="36"/>
      <c r="ALW24" s="36"/>
      <c r="ALX24" s="36"/>
      <c r="ALY24" s="36"/>
      <c r="ALZ24" s="36"/>
      <c r="AMA24" s="36"/>
      <c r="AMB24" s="36"/>
      <c r="AMC24" s="36"/>
      <c r="AMD24" s="36"/>
      <c r="AME24" s="36"/>
      <c r="AMF24" s="36"/>
      <c r="AMG24" s="36"/>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5"/>
  <sheetViews>
    <sheetView workbookViewId="0">
      <pane xSplit="1" ySplit="2" topLeftCell="B3" activePane="bottomRight" state="frozen"/>
      <selection pane="topRight"/>
      <selection pane="bottomLeft"/>
      <selection pane="bottomRight" activeCell="A10" sqref="A10"/>
    </sheetView>
  </sheetViews>
  <sheetFormatPr defaultColWidth="8.75" defaultRowHeight="12.75" x14ac:dyDescent="0.2"/>
  <cols>
    <col min="1" max="1" width="35.75" style="8" customWidth="1"/>
    <col min="2" max="2" width="12.875" style="8" customWidth="1"/>
    <col min="3" max="16384" width="8.75" style="8"/>
  </cols>
  <sheetData>
    <row r="1" spans="1:2" s="13" customFormat="1" x14ac:dyDescent="0.2">
      <c r="A1" s="13" t="str">
        <f>CONCATENATE("Besluittypen bij zaaktype ",Zaaktype!B3,": ",Zaaktype!B4)</f>
        <v>Besluittypen bij zaaktype 17: Ambtshalve beschikken</v>
      </c>
    </row>
    <row r="2" spans="1:2" ht="25.5" x14ac:dyDescent="0.2">
      <c r="A2" s="3" t="s">
        <v>287</v>
      </c>
      <c r="B2" s="3" t="s">
        <v>64</v>
      </c>
    </row>
    <row r="3" spans="1:2" x14ac:dyDescent="0.2">
      <c r="A3" s="8" t="s">
        <v>276</v>
      </c>
      <c r="B3" s="19">
        <v>44530</v>
      </c>
    </row>
    <row r="4" spans="1:2" x14ac:dyDescent="0.2">
      <c r="A4" s="8" t="s">
        <v>281</v>
      </c>
      <c r="B4" s="19">
        <v>44530</v>
      </c>
    </row>
    <row r="5" spans="1:2" x14ac:dyDescent="0.2">
      <c r="A5" s="8" t="s">
        <v>275</v>
      </c>
      <c r="B5" s="19">
        <v>44530</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Q45"/>
  <sheetViews>
    <sheetView zoomScale="85" zoomScaleNormal="85" workbookViewId="0">
      <pane xSplit="2" ySplit="2" topLeftCell="C3" activePane="bottomRight" state="frozen"/>
      <selection pane="topRight"/>
      <selection pane="bottomLeft"/>
      <selection pane="bottomRight" activeCell="K11" sqref="K11"/>
    </sheetView>
  </sheetViews>
  <sheetFormatPr defaultColWidth="10.125" defaultRowHeight="12.75" x14ac:dyDescent="0.2"/>
  <cols>
    <col min="1" max="1" width="26.25" style="2" bestFit="1" customWidth="1"/>
    <col min="2" max="2" width="10" style="2" customWidth="1"/>
    <col min="3" max="3" width="22.375" style="2" bestFit="1" customWidth="1"/>
    <col min="4" max="4" width="24.875" style="2" customWidth="1"/>
    <col min="5" max="5" width="24.375" style="2" customWidth="1"/>
    <col min="6" max="6" width="10" style="2" customWidth="1"/>
    <col min="7" max="7" width="14.125" style="2" customWidth="1"/>
    <col min="8" max="8" width="19.75" style="2" bestFit="1" customWidth="1"/>
    <col min="9" max="9" width="9.25" style="2" customWidth="1"/>
    <col min="10" max="10" width="16.25" style="2" customWidth="1"/>
    <col min="11" max="11" width="21.75" style="2" customWidth="1"/>
    <col min="12" max="16" width="22.75" style="2" customWidth="1"/>
    <col min="17" max="17" width="62.375" style="2" customWidth="1"/>
    <col min="18" max="18" width="33" style="2" customWidth="1"/>
    <col min="19" max="20" width="28.875" style="2" customWidth="1"/>
    <col min="21" max="21" width="16.875" style="2" customWidth="1"/>
    <col min="22" max="22" width="13.875" style="2" customWidth="1"/>
    <col min="23" max="1031" width="10.125" style="2"/>
    <col min="1032" max="16384" width="10.125" style="8"/>
  </cols>
  <sheetData>
    <row r="1" spans="1:22" s="13" customFormat="1" x14ac:dyDescent="0.2">
      <c r="A1" s="10" t="str">
        <f>CONCATENATE("Resultaattypen bij zaaktype ",Zaaktype!B3,": ",Zaaktype!B4)</f>
        <v>Resultaattypen bij zaaktype 17: Ambtshalve beschikken</v>
      </c>
      <c r="B1" s="10"/>
      <c r="C1" s="10"/>
      <c r="D1" s="10"/>
      <c r="E1" s="10"/>
      <c r="F1" s="10"/>
      <c r="G1" s="10"/>
      <c r="H1" s="10"/>
      <c r="I1" s="10"/>
      <c r="J1" s="10"/>
      <c r="K1" s="10"/>
      <c r="L1" s="10"/>
      <c r="M1" s="10"/>
      <c r="N1" s="10"/>
      <c r="O1" s="10"/>
      <c r="P1" s="10"/>
      <c r="Q1" s="10"/>
      <c r="R1" s="10"/>
      <c r="S1" s="10"/>
      <c r="T1" s="10"/>
      <c r="U1" s="10"/>
      <c r="V1" s="10"/>
    </row>
    <row r="2" spans="1:22" s="18" customFormat="1" ht="38.25" x14ac:dyDescent="0.2">
      <c r="A2" s="3" t="s">
        <v>288</v>
      </c>
      <c r="B2" s="3" t="s">
        <v>289</v>
      </c>
      <c r="C2" s="3" t="s">
        <v>290</v>
      </c>
      <c r="D2" s="3" t="s">
        <v>291</v>
      </c>
      <c r="E2" s="3" t="s">
        <v>292</v>
      </c>
      <c r="F2" s="3" t="s">
        <v>293</v>
      </c>
      <c r="G2" s="3" t="s">
        <v>294</v>
      </c>
      <c r="H2" s="3" t="s">
        <v>295</v>
      </c>
      <c r="I2" s="3" t="s">
        <v>296</v>
      </c>
      <c r="J2" s="3" t="s">
        <v>297</v>
      </c>
      <c r="K2" s="3" t="s">
        <v>298</v>
      </c>
      <c r="L2" s="3" t="s">
        <v>299</v>
      </c>
      <c r="M2" s="3" t="s">
        <v>300</v>
      </c>
      <c r="N2" s="3" t="s">
        <v>301</v>
      </c>
      <c r="O2" s="3" t="s">
        <v>302</v>
      </c>
      <c r="P2" s="3" t="s">
        <v>303</v>
      </c>
      <c r="Q2" s="3" t="s">
        <v>11</v>
      </c>
      <c r="R2" s="3" t="s">
        <v>304</v>
      </c>
      <c r="S2" s="3" t="s">
        <v>305</v>
      </c>
      <c r="T2" s="3" t="s">
        <v>306</v>
      </c>
      <c r="U2" s="3" t="s">
        <v>307</v>
      </c>
      <c r="V2" s="3" t="s">
        <v>308</v>
      </c>
    </row>
    <row r="3" spans="1:22" ht="25.5" x14ac:dyDescent="0.2">
      <c r="A3" s="2" t="s">
        <v>309</v>
      </c>
      <c r="B3" s="2" t="s">
        <v>310</v>
      </c>
      <c r="C3" s="2" t="s">
        <v>309</v>
      </c>
      <c r="D3" s="2" t="s">
        <v>309</v>
      </c>
      <c r="F3" s="2" t="s">
        <v>164</v>
      </c>
      <c r="G3" s="2" t="s">
        <v>311</v>
      </c>
      <c r="H3" s="2" t="s">
        <v>312</v>
      </c>
      <c r="J3" s="2">
        <v>12</v>
      </c>
      <c r="K3" s="2" t="s">
        <v>313</v>
      </c>
      <c r="Q3" s="8" t="s">
        <v>314</v>
      </c>
    </row>
    <row r="4" spans="1:22" x14ac:dyDescent="0.2">
      <c r="A4" s="2" t="s">
        <v>315</v>
      </c>
      <c r="B4" s="2" t="s">
        <v>310</v>
      </c>
      <c r="C4" s="2" t="s">
        <v>316</v>
      </c>
      <c r="D4" s="2" t="s">
        <v>315</v>
      </c>
      <c r="F4" s="2" t="s">
        <v>164</v>
      </c>
      <c r="G4" s="2" t="s">
        <v>317</v>
      </c>
      <c r="H4" s="2" t="s">
        <v>312</v>
      </c>
      <c r="J4" s="2">
        <v>12</v>
      </c>
      <c r="K4" s="2" t="s">
        <v>318</v>
      </c>
    </row>
    <row r="5" spans="1:22" ht="38.25" x14ac:dyDescent="0.2">
      <c r="A5" s="2" t="s">
        <v>319</v>
      </c>
      <c r="B5" s="2" t="s">
        <v>310</v>
      </c>
      <c r="C5" s="2" t="s">
        <v>316</v>
      </c>
      <c r="D5" s="2" t="s">
        <v>315</v>
      </c>
      <c r="E5" s="8" t="s">
        <v>320</v>
      </c>
      <c r="F5" s="8" t="s">
        <v>233</v>
      </c>
      <c r="G5" s="2" t="s">
        <v>321</v>
      </c>
      <c r="H5" s="2" t="s">
        <v>322</v>
      </c>
      <c r="K5" s="2" t="s">
        <v>313</v>
      </c>
      <c r="Q5" s="8" t="s">
        <v>323</v>
      </c>
    </row>
    <row r="6" spans="1:22" x14ac:dyDescent="0.2">
      <c r="A6" s="2" t="s">
        <v>324</v>
      </c>
      <c r="B6" s="2" t="s">
        <v>310</v>
      </c>
      <c r="C6" s="2" t="s">
        <v>316</v>
      </c>
      <c r="D6" s="2" t="s">
        <v>315</v>
      </c>
      <c r="E6" s="8" t="s">
        <v>325</v>
      </c>
      <c r="F6" s="8" t="s">
        <v>233</v>
      </c>
      <c r="G6" s="2" t="s">
        <v>326</v>
      </c>
      <c r="H6" s="2" t="s">
        <v>322</v>
      </c>
      <c r="K6" s="2" t="s">
        <v>313</v>
      </c>
      <c r="Q6" s="8" t="s">
        <v>327</v>
      </c>
    </row>
    <row r="7" spans="1:22" x14ac:dyDescent="0.2">
      <c r="A7" s="2" t="s">
        <v>328</v>
      </c>
      <c r="B7" s="2" t="s">
        <v>310</v>
      </c>
      <c r="C7" s="2" t="s">
        <v>316</v>
      </c>
      <c r="D7" s="2" t="s">
        <v>315</v>
      </c>
      <c r="E7" s="8" t="s">
        <v>329</v>
      </c>
      <c r="F7" s="8" t="s">
        <v>233</v>
      </c>
      <c r="G7" s="2" t="s">
        <v>330</v>
      </c>
      <c r="H7" s="2" t="s">
        <v>312</v>
      </c>
      <c r="J7" s="2">
        <v>12</v>
      </c>
      <c r="K7" s="2" t="s">
        <v>318</v>
      </c>
      <c r="Q7" s="8" t="s">
        <v>331</v>
      </c>
    </row>
    <row r="8" spans="1:22" ht="38.25" x14ac:dyDescent="0.2">
      <c r="A8" s="2" t="s">
        <v>332</v>
      </c>
      <c r="B8" s="2" t="s">
        <v>310</v>
      </c>
      <c r="C8" s="2" t="s">
        <v>333</v>
      </c>
      <c r="D8" s="2" t="s">
        <v>333</v>
      </c>
      <c r="E8" s="8" t="s">
        <v>334</v>
      </c>
      <c r="F8" s="8" t="s">
        <v>233</v>
      </c>
      <c r="G8" s="2" t="s">
        <v>335</v>
      </c>
      <c r="H8" s="2" t="s">
        <v>322</v>
      </c>
      <c r="K8" s="2" t="s">
        <v>313</v>
      </c>
      <c r="Q8" s="8" t="s">
        <v>336</v>
      </c>
    </row>
    <row r="9" spans="1:22" ht="39" customHeight="1" x14ac:dyDescent="0.2">
      <c r="A9" s="2" t="s">
        <v>333</v>
      </c>
      <c r="B9" s="2" t="s">
        <v>310</v>
      </c>
      <c r="C9" s="2" t="s">
        <v>333</v>
      </c>
      <c r="D9" s="2" t="s">
        <v>333</v>
      </c>
      <c r="E9" s="8"/>
      <c r="F9" s="8" t="s">
        <v>164</v>
      </c>
      <c r="G9" s="8" t="s">
        <v>337</v>
      </c>
      <c r="H9" s="2" t="s">
        <v>312</v>
      </c>
      <c r="J9" s="2">
        <v>12</v>
      </c>
      <c r="K9" s="2" t="s">
        <v>313</v>
      </c>
      <c r="Q9" s="8" t="s">
        <v>338</v>
      </c>
    </row>
    <row r="10" spans="1:22" ht="38.25" x14ac:dyDescent="0.2">
      <c r="A10" s="8" t="s">
        <v>339</v>
      </c>
      <c r="B10" s="8" t="s">
        <v>310</v>
      </c>
      <c r="C10" s="8" t="s">
        <v>333</v>
      </c>
      <c r="D10" s="8" t="s">
        <v>333</v>
      </c>
      <c r="E10" s="21" t="s">
        <v>340</v>
      </c>
      <c r="F10" s="8" t="s">
        <v>233</v>
      </c>
      <c r="G10" s="2" t="s">
        <v>341</v>
      </c>
      <c r="H10" s="8" t="s">
        <v>322</v>
      </c>
      <c r="I10" s="8"/>
      <c r="K10" s="8" t="s">
        <v>313</v>
      </c>
      <c r="L10" s="8"/>
      <c r="M10" s="8"/>
      <c r="N10" s="8"/>
      <c r="O10" s="8"/>
      <c r="P10" s="8"/>
      <c r="Q10" s="8" t="s">
        <v>342</v>
      </c>
      <c r="R10" s="8"/>
      <c r="S10" s="8"/>
      <c r="U10" s="8" t="s">
        <v>343</v>
      </c>
      <c r="V10" s="8"/>
    </row>
    <row r="11" spans="1:22" ht="36" customHeight="1" x14ac:dyDescent="0.2">
      <c r="A11" s="2" t="s">
        <v>344</v>
      </c>
      <c r="B11" s="2" t="s">
        <v>310</v>
      </c>
      <c r="C11" s="2" t="s">
        <v>345</v>
      </c>
      <c r="D11" s="8" t="s">
        <v>344</v>
      </c>
      <c r="E11" s="8"/>
      <c r="F11" s="8" t="s">
        <v>164</v>
      </c>
      <c r="G11" s="2" t="s">
        <v>346</v>
      </c>
      <c r="H11" s="2" t="s">
        <v>312</v>
      </c>
      <c r="J11" s="2">
        <v>60</v>
      </c>
      <c r="K11" s="2" t="s">
        <v>313</v>
      </c>
    </row>
    <row r="12" spans="1:22" x14ac:dyDescent="0.2">
      <c r="A12" s="2" t="s">
        <v>347</v>
      </c>
      <c r="B12" s="2" t="s">
        <v>348</v>
      </c>
      <c r="C12" s="2" t="s">
        <v>316</v>
      </c>
      <c r="D12" s="2" t="s">
        <v>316</v>
      </c>
      <c r="G12" s="2">
        <v>24</v>
      </c>
      <c r="H12" s="2" t="s">
        <v>322</v>
      </c>
      <c r="K12" s="2" t="s">
        <v>318</v>
      </c>
    </row>
    <row r="13" spans="1:22" x14ac:dyDescent="0.2">
      <c r="A13" s="2" t="s">
        <v>347</v>
      </c>
      <c r="B13" s="2" t="s">
        <v>348</v>
      </c>
      <c r="C13" s="2" t="s">
        <v>316</v>
      </c>
      <c r="D13" s="2" t="s">
        <v>316</v>
      </c>
      <c r="G13" s="2">
        <v>24</v>
      </c>
      <c r="H13" s="2" t="s">
        <v>322</v>
      </c>
      <c r="K13" s="2" t="s">
        <v>313</v>
      </c>
    </row>
    <row r="14" spans="1:22" x14ac:dyDescent="0.2">
      <c r="A14" s="2" t="s">
        <v>347</v>
      </c>
      <c r="B14" s="2" t="s">
        <v>348</v>
      </c>
      <c r="C14" s="2" t="s">
        <v>316</v>
      </c>
      <c r="D14" s="2" t="s">
        <v>316</v>
      </c>
      <c r="G14" s="2">
        <v>24</v>
      </c>
      <c r="H14" s="2" t="s">
        <v>322</v>
      </c>
      <c r="K14" s="2" t="s">
        <v>313</v>
      </c>
    </row>
    <row r="15" spans="1:22" x14ac:dyDescent="0.2">
      <c r="A15" s="2" t="s">
        <v>347</v>
      </c>
      <c r="B15" s="2" t="s">
        <v>348</v>
      </c>
      <c r="C15" s="2" t="s">
        <v>316</v>
      </c>
      <c r="D15" s="2" t="s">
        <v>316</v>
      </c>
      <c r="G15" s="2">
        <v>24</v>
      </c>
      <c r="H15" s="2" t="s">
        <v>322</v>
      </c>
      <c r="K15" s="2" t="s">
        <v>318</v>
      </c>
    </row>
    <row r="16" spans="1:22" x14ac:dyDescent="0.2">
      <c r="A16" s="2" t="s">
        <v>347</v>
      </c>
      <c r="B16" s="2" t="s">
        <v>348</v>
      </c>
      <c r="C16" s="2" t="s">
        <v>316</v>
      </c>
      <c r="D16" s="2" t="s">
        <v>316</v>
      </c>
      <c r="G16" s="2">
        <v>22</v>
      </c>
      <c r="H16" s="2" t="s">
        <v>312</v>
      </c>
      <c r="J16" s="2">
        <v>240</v>
      </c>
      <c r="K16" s="2" t="s">
        <v>318</v>
      </c>
    </row>
    <row r="17" spans="1:11" x14ac:dyDescent="0.2">
      <c r="A17" s="2" t="s">
        <v>347</v>
      </c>
      <c r="B17" s="2" t="s">
        <v>348</v>
      </c>
      <c r="C17" s="2" t="s">
        <v>316</v>
      </c>
      <c r="D17" s="2" t="s">
        <v>316</v>
      </c>
      <c r="G17" s="2">
        <v>25</v>
      </c>
      <c r="H17" s="2" t="s">
        <v>322</v>
      </c>
      <c r="K17" s="2" t="s">
        <v>313</v>
      </c>
    </row>
    <row r="18" spans="1:11" x14ac:dyDescent="0.2">
      <c r="A18" s="2" t="s">
        <v>347</v>
      </c>
      <c r="B18" s="2" t="s">
        <v>348</v>
      </c>
      <c r="C18" s="2" t="s">
        <v>316</v>
      </c>
      <c r="D18" s="2" t="s">
        <v>316</v>
      </c>
      <c r="G18" s="2">
        <v>22</v>
      </c>
      <c r="H18" s="2" t="s">
        <v>312</v>
      </c>
      <c r="J18" s="2">
        <v>240</v>
      </c>
      <c r="K18" s="2" t="s">
        <v>318</v>
      </c>
    </row>
    <row r="19" spans="1:11" x14ac:dyDescent="0.2">
      <c r="A19" s="2" t="s">
        <v>347</v>
      </c>
      <c r="B19" s="2" t="s">
        <v>348</v>
      </c>
      <c r="C19" s="2" t="s">
        <v>316</v>
      </c>
      <c r="D19" s="2" t="s">
        <v>316</v>
      </c>
      <c r="G19" s="2">
        <v>21</v>
      </c>
      <c r="H19" s="2" t="s">
        <v>312</v>
      </c>
      <c r="J19" s="2">
        <v>120</v>
      </c>
      <c r="K19" s="2" t="s">
        <v>349</v>
      </c>
    </row>
    <row r="20" spans="1:11" x14ac:dyDescent="0.2">
      <c r="A20" s="2" t="s">
        <v>350</v>
      </c>
      <c r="B20" s="2" t="s">
        <v>348</v>
      </c>
      <c r="C20" s="2" t="s">
        <v>316</v>
      </c>
      <c r="D20" s="2" t="s">
        <v>316</v>
      </c>
      <c r="G20" s="2">
        <v>24</v>
      </c>
      <c r="H20" s="2" t="s">
        <v>322</v>
      </c>
      <c r="K20" s="2" t="s">
        <v>313</v>
      </c>
    </row>
    <row r="21" spans="1:11" x14ac:dyDescent="0.2">
      <c r="A21" s="2" t="s">
        <v>351</v>
      </c>
      <c r="B21" s="2" t="s">
        <v>348</v>
      </c>
      <c r="C21" s="2" t="s">
        <v>333</v>
      </c>
      <c r="D21" s="2" t="s">
        <v>333</v>
      </c>
      <c r="G21" s="2">
        <v>21</v>
      </c>
      <c r="H21" s="2" t="s">
        <v>312</v>
      </c>
      <c r="J21" s="2">
        <v>120</v>
      </c>
      <c r="K21" s="2" t="s">
        <v>349</v>
      </c>
    </row>
    <row r="22" spans="1:11" x14ac:dyDescent="0.2">
      <c r="A22" s="2" t="s">
        <v>351</v>
      </c>
      <c r="B22" s="2" t="s">
        <v>348</v>
      </c>
      <c r="C22" s="2" t="s">
        <v>333</v>
      </c>
      <c r="D22" s="2" t="s">
        <v>333</v>
      </c>
      <c r="G22" s="2">
        <v>21</v>
      </c>
      <c r="H22" s="2" t="s">
        <v>312</v>
      </c>
      <c r="J22" s="2">
        <v>120</v>
      </c>
      <c r="K22" s="2" t="s">
        <v>349</v>
      </c>
    </row>
    <row r="23" spans="1:11" x14ac:dyDescent="0.2">
      <c r="A23" s="2" t="s">
        <v>351</v>
      </c>
      <c r="B23" s="2" t="s">
        <v>348</v>
      </c>
      <c r="C23" s="2" t="s">
        <v>333</v>
      </c>
      <c r="D23" s="2" t="s">
        <v>333</v>
      </c>
      <c r="G23" s="2">
        <v>21</v>
      </c>
      <c r="H23" s="2" t="s">
        <v>312</v>
      </c>
      <c r="J23" s="2">
        <v>120</v>
      </c>
      <c r="K23" s="2" t="s">
        <v>349</v>
      </c>
    </row>
    <row r="24" spans="1:11" x14ac:dyDescent="0.2">
      <c r="A24" s="2" t="s">
        <v>351</v>
      </c>
      <c r="B24" s="2" t="s">
        <v>348</v>
      </c>
      <c r="C24" s="2" t="s">
        <v>333</v>
      </c>
      <c r="D24" s="2" t="s">
        <v>333</v>
      </c>
      <c r="G24" s="2">
        <v>21</v>
      </c>
      <c r="H24" s="2" t="s">
        <v>312</v>
      </c>
      <c r="J24" s="2">
        <v>120</v>
      </c>
      <c r="K24" s="2" t="s">
        <v>349</v>
      </c>
    </row>
    <row r="25" spans="1:11" x14ac:dyDescent="0.2">
      <c r="A25" s="2" t="s">
        <v>351</v>
      </c>
      <c r="B25" s="2" t="s">
        <v>348</v>
      </c>
      <c r="C25" s="2" t="s">
        <v>333</v>
      </c>
      <c r="D25" s="2" t="s">
        <v>333</v>
      </c>
      <c r="G25" s="2">
        <v>21</v>
      </c>
      <c r="H25" s="2" t="s">
        <v>312</v>
      </c>
      <c r="J25" s="2">
        <v>120</v>
      </c>
      <c r="K25" s="2" t="s">
        <v>349</v>
      </c>
    </row>
    <row r="26" spans="1:11" x14ac:dyDescent="0.2">
      <c r="A26" s="2" t="s">
        <v>351</v>
      </c>
      <c r="B26" s="2" t="s">
        <v>348</v>
      </c>
      <c r="C26" s="2" t="s">
        <v>333</v>
      </c>
      <c r="D26" s="2" t="s">
        <v>333</v>
      </c>
      <c r="G26" s="2">
        <v>21</v>
      </c>
      <c r="H26" s="2" t="s">
        <v>312</v>
      </c>
      <c r="J26" s="2">
        <v>120</v>
      </c>
      <c r="K26" s="2" t="s">
        <v>349</v>
      </c>
    </row>
    <row r="27" spans="1:11" x14ac:dyDescent="0.2">
      <c r="A27" s="2" t="s">
        <v>351</v>
      </c>
      <c r="B27" s="2" t="s">
        <v>348</v>
      </c>
      <c r="C27" s="2" t="s">
        <v>333</v>
      </c>
      <c r="D27" s="2" t="s">
        <v>333</v>
      </c>
      <c r="G27" s="2">
        <v>24</v>
      </c>
      <c r="H27" s="2" t="s">
        <v>322</v>
      </c>
      <c r="K27" s="2" t="s">
        <v>349</v>
      </c>
    </row>
    <row r="28" spans="1:11" x14ac:dyDescent="0.2">
      <c r="A28" s="2" t="s">
        <v>351</v>
      </c>
      <c r="B28" s="2" t="s">
        <v>348</v>
      </c>
      <c r="C28" s="2" t="s">
        <v>333</v>
      </c>
      <c r="D28" s="2" t="s">
        <v>333</v>
      </c>
      <c r="G28" s="2">
        <v>21</v>
      </c>
      <c r="H28" s="2" t="s">
        <v>312</v>
      </c>
      <c r="J28" s="2">
        <v>120</v>
      </c>
      <c r="K28" s="2" t="s">
        <v>349</v>
      </c>
    </row>
    <row r="29" spans="1:11" x14ac:dyDescent="0.2">
      <c r="A29" s="2" t="s">
        <v>352</v>
      </c>
      <c r="B29" s="2" t="s">
        <v>348</v>
      </c>
      <c r="C29" s="2" t="s">
        <v>345</v>
      </c>
      <c r="D29" s="2" t="s">
        <v>345</v>
      </c>
      <c r="G29" s="2">
        <v>21</v>
      </c>
      <c r="H29" s="2" t="s">
        <v>312</v>
      </c>
      <c r="J29" s="2">
        <v>120</v>
      </c>
      <c r="K29" s="2" t="s">
        <v>349</v>
      </c>
    </row>
    <row r="30" spans="1:11" x14ac:dyDescent="0.2">
      <c r="A30" s="2" t="s">
        <v>352</v>
      </c>
      <c r="B30" s="2" t="s">
        <v>348</v>
      </c>
      <c r="C30" s="2" t="s">
        <v>345</v>
      </c>
      <c r="D30" s="2" t="s">
        <v>345</v>
      </c>
      <c r="G30" s="2">
        <v>21</v>
      </c>
      <c r="H30" s="2" t="s">
        <v>312</v>
      </c>
      <c r="J30" s="2">
        <v>120</v>
      </c>
      <c r="K30" s="2" t="s">
        <v>349</v>
      </c>
    </row>
    <row r="31" spans="1:11" x14ac:dyDescent="0.2">
      <c r="A31" s="2" t="s">
        <v>352</v>
      </c>
      <c r="B31" s="2" t="s">
        <v>348</v>
      </c>
      <c r="C31" s="2" t="s">
        <v>345</v>
      </c>
      <c r="D31" s="2" t="s">
        <v>345</v>
      </c>
      <c r="G31" s="2">
        <v>21</v>
      </c>
      <c r="H31" s="2" t="s">
        <v>312</v>
      </c>
      <c r="J31" s="2">
        <v>120</v>
      </c>
      <c r="K31" s="2" t="s">
        <v>349</v>
      </c>
    </row>
    <row r="32" spans="1:11" x14ac:dyDescent="0.2">
      <c r="A32" s="2" t="s">
        <v>352</v>
      </c>
      <c r="B32" s="2" t="s">
        <v>348</v>
      </c>
      <c r="C32" s="2" t="s">
        <v>345</v>
      </c>
      <c r="D32" s="2" t="s">
        <v>345</v>
      </c>
      <c r="G32" s="2">
        <v>21</v>
      </c>
      <c r="H32" s="2" t="s">
        <v>312</v>
      </c>
      <c r="J32" s="2">
        <v>120</v>
      </c>
      <c r="K32" s="2" t="s">
        <v>349</v>
      </c>
    </row>
    <row r="33" spans="1:17" x14ac:dyDescent="0.2">
      <c r="A33" s="2" t="s">
        <v>352</v>
      </c>
      <c r="B33" s="2" t="s">
        <v>348</v>
      </c>
      <c r="C33" s="2" t="s">
        <v>345</v>
      </c>
      <c r="D33" s="2" t="s">
        <v>345</v>
      </c>
      <c r="G33" s="2">
        <v>21</v>
      </c>
      <c r="H33" s="2" t="s">
        <v>312</v>
      </c>
      <c r="J33" s="2">
        <v>120</v>
      </c>
      <c r="K33" s="2" t="s">
        <v>349</v>
      </c>
    </row>
    <row r="34" spans="1:17" x14ac:dyDescent="0.2">
      <c r="A34" s="2" t="s">
        <v>352</v>
      </c>
      <c r="B34" s="2" t="s">
        <v>348</v>
      </c>
      <c r="C34" s="2" t="s">
        <v>345</v>
      </c>
      <c r="D34" s="2" t="s">
        <v>345</v>
      </c>
      <c r="G34" s="2">
        <v>22</v>
      </c>
      <c r="H34" s="2" t="s">
        <v>312</v>
      </c>
      <c r="J34" s="2">
        <v>240</v>
      </c>
      <c r="K34" s="2" t="s">
        <v>349</v>
      </c>
    </row>
    <row r="35" spans="1:17" x14ac:dyDescent="0.2">
      <c r="A35" s="2" t="s">
        <v>352</v>
      </c>
      <c r="B35" s="2" t="s">
        <v>348</v>
      </c>
      <c r="C35" s="2" t="s">
        <v>345</v>
      </c>
      <c r="D35" s="2" t="s">
        <v>345</v>
      </c>
      <c r="G35" s="2">
        <v>21</v>
      </c>
      <c r="H35" s="2" t="s">
        <v>312</v>
      </c>
      <c r="J35" s="2">
        <v>120</v>
      </c>
      <c r="K35" s="2" t="s">
        <v>349</v>
      </c>
    </row>
    <row r="36" spans="1:17" x14ac:dyDescent="0.2">
      <c r="A36" s="2" t="s">
        <v>352</v>
      </c>
      <c r="B36" s="2" t="s">
        <v>348</v>
      </c>
      <c r="C36" s="2" t="s">
        <v>345</v>
      </c>
      <c r="D36" s="2" t="s">
        <v>345</v>
      </c>
      <c r="G36" s="2">
        <v>21</v>
      </c>
      <c r="H36" s="2" t="s">
        <v>312</v>
      </c>
      <c r="J36" s="2">
        <v>120</v>
      </c>
      <c r="K36" s="2" t="s">
        <v>349</v>
      </c>
    </row>
    <row r="37" spans="1:17" ht="25.5" x14ac:dyDescent="0.2">
      <c r="A37" s="2" t="s">
        <v>353</v>
      </c>
      <c r="B37" s="2" t="s">
        <v>348</v>
      </c>
      <c r="C37" s="2" t="s">
        <v>309</v>
      </c>
      <c r="D37" s="2" t="s">
        <v>309</v>
      </c>
      <c r="G37" s="2">
        <v>1</v>
      </c>
      <c r="H37" s="2" t="s">
        <v>312</v>
      </c>
      <c r="J37" s="2">
        <v>36</v>
      </c>
      <c r="K37" s="2" t="s">
        <v>313</v>
      </c>
      <c r="Q37" s="8" t="s">
        <v>354</v>
      </c>
    </row>
    <row r="38" spans="1:17" ht="25.5" x14ac:dyDescent="0.2">
      <c r="A38" s="2" t="s">
        <v>355</v>
      </c>
      <c r="B38" s="2" t="s">
        <v>356</v>
      </c>
      <c r="C38" s="2" t="s">
        <v>316</v>
      </c>
      <c r="D38" s="2" t="s">
        <v>316</v>
      </c>
      <c r="G38" s="2" t="s">
        <v>357</v>
      </c>
      <c r="H38" s="2" t="s">
        <v>312</v>
      </c>
      <c r="J38" s="2">
        <v>60</v>
      </c>
      <c r="K38" s="2" t="s">
        <v>358</v>
      </c>
    </row>
    <row r="39" spans="1:17" x14ac:dyDescent="0.2">
      <c r="A39" s="2" t="s">
        <v>345</v>
      </c>
      <c r="B39" s="2" t="s">
        <v>356</v>
      </c>
      <c r="C39" s="2" t="s">
        <v>345</v>
      </c>
      <c r="D39" s="2" t="s">
        <v>345</v>
      </c>
      <c r="G39" s="2" t="s">
        <v>359</v>
      </c>
      <c r="H39" s="2" t="s">
        <v>312</v>
      </c>
      <c r="J39" s="2">
        <v>60</v>
      </c>
      <c r="K39" s="2" t="s">
        <v>313</v>
      </c>
    </row>
    <row r="40" spans="1:17" x14ac:dyDescent="0.2">
      <c r="A40" s="2" t="s">
        <v>360</v>
      </c>
      <c r="B40" s="2" t="s">
        <v>356</v>
      </c>
      <c r="C40" s="2" t="s">
        <v>360</v>
      </c>
      <c r="D40" s="2" t="s">
        <v>360</v>
      </c>
      <c r="G40" s="2" t="s">
        <v>359</v>
      </c>
      <c r="H40" s="2" t="s">
        <v>312</v>
      </c>
      <c r="J40" s="2">
        <v>12</v>
      </c>
      <c r="K40" s="2" t="s">
        <v>313</v>
      </c>
    </row>
    <row r="41" spans="1:17" ht="25.5" x14ac:dyDescent="0.2">
      <c r="A41" s="2" t="s">
        <v>361</v>
      </c>
      <c r="B41" s="2" t="s">
        <v>356</v>
      </c>
      <c r="C41" s="2" t="s">
        <v>361</v>
      </c>
      <c r="D41" s="2" t="s">
        <v>361</v>
      </c>
      <c r="G41" s="2" t="s">
        <v>359</v>
      </c>
      <c r="H41" s="2" t="s">
        <v>312</v>
      </c>
      <c r="J41" s="2">
        <v>60</v>
      </c>
      <c r="K41" s="2" t="s">
        <v>313</v>
      </c>
    </row>
    <row r="42" spans="1:17" ht="25.5" x14ac:dyDescent="0.2">
      <c r="A42" s="2" t="s">
        <v>362</v>
      </c>
      <c r="B42" s="2" t="s">
        <v>356</v>
      </c>
      <c r="C42" s="2" t="s">
        <v>362</v>
      </c>
      <c r="D42" s="2" t="s">
        <v>362</v>
      </c>
      <c r="G42" s="2" t="s">
        <v>359</v>
      </c>
      <c r="H42" s="2" t="s">
        <v>312</v>
      </c>
      <c r="J42" s="2">
        <v>12</v>
      </c>
      <c r="K42" s="2" t="s">
        <v>313</v>
      </c>
    </row>
    <row r="43" spans="1:17" x14ac:dyDescent="0.2">
      <c r="A43" s="2" t="s">
        <v>363</v>
      </c>
      <c r="B43" s="2" t="s">
        <v>356</v>
      </c>
      <c r="C43" s="2" t="s">
        <v>363</v>
      </c>
      <c r="D43" s="2" t="s">
        <v>363</v>
      </c>
      <c r="G43" s="2" t="s">
        <v>359</v>
      </c>
      <c r="H43" s="2" t="s">
        <v>312</v>
      </c>
      <c r="J43" s="2">
        <v>60</v>
      </c>
      <c r="K43" s="2" t="s">
        <v>313</v>
      </c>
    </row>
    <row r="44" spans="1:17" x14ac:dyDescent="0.2">
      <c r="A44" s="2" t="s">
        <v>364</v>
      </c>
      <c r="B44" s="2" t="s">
        <v>356</v>
      </c>
      <c r="C44" s="2" t="s">
        <v>364</v>
      </c>
      <c r="D44" s="2" t="s">
        <v>364</v>
      </c>
      <c r="G44" s="2" t="s">
        <v>365</v>
      </c>
      <c r="H44" s="2" t="s">
        <v>312</v>
      </c>
      <c r="J44" s="2">
        <v>12</v>
      </c>
      <c r="K44" s="2" t="s">
        <v>313</v>
      </c>
    </row>
    <row r="45" spans="1:17" x14ac:dyDescent="0.2">
      <c r="A45" s="2" t="s">
        <v>309</v>
      </c>
      <c r="B45" s="2" t="s">
        <v>356</v>
      </c>
      <c r="C45" s="2" t="s">
        <v>309</v>
      </c>
      <c r="D45" s="2" t="s">
        <v>309</v>
      </c>
      <c r="G45" s="2" t="s">
        <v>366</v>
      </c>
      <c r="H45" s="2" t="s">
        <v>312</v>
      </c>
      <c r="J45" s="2">
        <v>12</v>
      </c>
      <c r="K45" s="2" t="s">
        <v>313</v>
      </c>
    </row>
  </sheetData>
  <sortState xmlns:xlrd2="http://schemas.microsoft.com/office/spreadsheetml/2017/richdata2" ref="A3:AMQ36">
    <sortCondition ref="B3:B36"/>
    <sortCondition ref="A3:A36"/>
  </sortState>
  <pageMargins left="0" right="0" top="0.39370078740157483" bottom="0.39370078740157483" header="0" footer="0"/>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26" customWidth="1"/>
    <col min="2" max="16384" width="8.75" style="26"/>
  </cols>
  <sheetData>
    <row r="1" spans="1:1" s="25" customFormat="1" x14ac:dyDescent="0.2">
      <c r="A1" s="14" t="str">
        <f>CONCATENATE("Deelzaaktypen van zaaktype ",Zaaktype!B3,": ",Zaaktype!B4)</f>
        <v>Deelzaaktypen van zaaktype 17: Ambtshalve beschikken</v>
      </c>
    </row>
    <row r="2" spans="1:1" s="15" customFormat="1" x14ac:dyDescent="0.2">
      <c r="A2" s="15" t="s">
        <v>367</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4"/>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3.125" style="7" customWidth="1"/>
    <col min="2" max="2" width="19.375" style="7" customWidth="1"/>
    <col min="3" max="3" width="56.5" style="7" customWidth="1"/>
    <col min="4" max="4" width="7" style="7" customWidth="1"/>
    <col min="5" max="1023" width="49.25" style="7" customWidth="1"/>
    <col min="1024" max="16384" width="8.75" style="26"/>
  </cols>
  <sheetData>
    <row r="1" spans="1:3" s="25" customFormat="1" x14ac:dyDescent="0.2">
      <c r="A1" s="16" t="str">
        <f>CONCATENATE("Gerelateerde zaaktypen van zaaktype ",Zaaktype!B3,": ",Zaaktype!B4)</f>
        <v>Gerelateerde zaaktypen van zaaktype 17: Ambtshalve beschikken</v>
      </c>
      <c r="B1" s="17"/>
      <c r="C1" s="17"/>
    </row>
    <row r="2" spans="1:3" x14ac:dyDescent="0.2">
      <c r="A2" s="1" t="s">
        <v>368</v>
      </c>
      <c r="B2" s="1" t="s">
        <v>369</v>
      </c>
      <c r="C2" s="1" t="s">
        <v>11</v>
      </c>
    </row>
    <row r="3" spans="1:3" ht="63.75" x14ac:dyDescent="0.2">
      <c r="A3" s="7" t="s">
        <v>370</v>
      </c>
      <c r="B3" s="7" t="s">
        <v>371</v>
      </c>
      <c r="C3" s="7" t="s">
        <v>372</v>
      </c>
    </row>
    <row r="4" spans="1:3" ht="63.75" x14ac:dyDescent="0.2">
      <c r="A4" s="7" t="s">
        <v>370</v>
      </c>
      <c r="B4" s="7" t="s">
        <v>371</v>
      </c>
      <c r="C4" s="7" t="s">
        <v>372</v>
      </c>
    </row>
    <row r="5" spans="1:3" ht="140.25" x14ac:dyDescent="0.2">
      <c r="A5" s="7" t="s">
        <v>373</v>
      </c>
      <c r="B5" s="7" t="s">
        <v>371</v>
      </c>
      <c r="C5" s="7" t="s">
        <v>374</v>
      </c>
    </row>
    <row r="6" spans="1:3" ht="140.25" x14ac:dyDescent="0.2">
      <c r="A6" s="7" t="s">
        <v>375</v>
      </c>
      <c r="B6" s="7" t="s">
        <v>371</v>
      </c>
      <c r="C6" s="7" t="s">
        <v>376</v>
      </c>
    </row>
    <row r="7" spans="1:3" ht="89.25" x14ac:dyDescent="0.2">
      <c r="A7" s="7" t="s">
        <v>377</v>
      </c>
      <c r="B7" s="7" t="s">
        <v>371</v>
      </c>
      <c r="C7" s="7" t="s">
        <v>378</v>
      </c>
    </row>
    <row r="8" spans="1:3" ht="76.5" x14ac:dyDescent="0.2">
      <c r="A8" s="7" t="s">
        <v>377</v>
      </c>
      <c r="B8" s="7" t="s">
        <v>371</v>
      </c>
      <c r="C8" s="7" t="s">
        <v>379</v>
      </c>
    </row>
    <row r="9" spans="1:3" ht="51" x14ac:dyDescent="0.2">
      <c r="A9" s="7" t="s">
        <v>380</v>
      </c>
      <c r="B9" s="7" t="s">
        <v>371</v>
      </c>
      <c r="C9" s="7" t="s">
        <v>381</v>
      </c>
    </row>
    <row r="10" spans="1:3" ht="76.5" x14ac:dyDescent="0.2">
      <c r="A10" s="7" t="s">
        <v>382</v>
      </c>
      <c r="B10" s="7" t="s">
        <v>371</v>
      </c>
      <c r="C10" s="7" t="s">
        <v>383</v>
      </c>
    </row>
    <row r="11" spans="1:3" ht="63.75" x14ac:dyDescent="0.2">
      <c r="A11" s="7" t="s">
        <v>382</v>
      </c>
      <c r="B11" s="7" t="s">
        <v>384</v>
      </c>
      <c r="C11" s="7" t="s">
        <v>385</v>
      </c>
    </row>
    <row r="12" spans="1:3" ht="38.25" x14ac:dyDescent="0.2">
      <c r="A12" s="7" t="s">
        <v>370</v>
      </c>
      <c r="B12" s="7" t="s">
        <v>384</v>
      </c>
      <c r="C12" s="7" t="s">
        <v>386</v>
      </c>
    </row>
    <row r="13" spans="1:3" ht="38.25" x14ac:dyDescent="0.2">
      <c r="A13" s="7" t="s">
        <v>387</v>
      </c>
      <c r="B13" s="7" t="s">
        <v>384</v>
      </c>
      <c r="C13" s="7" t="s">
        <v>388</v>
      </c>
    </row>
    <row r="14" spans="1:3" ht="38.25" x14ac:dyDescent="0.2">
      <c r="A14" s="7" t="s">
        <v>389</v>
      </c>
      <c r="B14" s="7" t="s">
        <v>384</v>
      </c>
      <c r="C14" s="7" t="s">
        <v>388</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24" customWidth="1"/>
    <col min="2" max="16384" width="9" style="24"/>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F98E-ED43-4112-9390-FBC4D539345C}">
  <dimension ref="A1"/>
  <sheetViews>
    <sheetView workbookViewId="0"/>
  </sheetViews>
  <sheetFormatPr defaultColWidth="9" defaultRowHeight="12.75" x14ac:dyDescent="0.2"/>
  <cols>
    <col min="1" max="16384" width="9" style="24"/>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88B69EA6-3411-4B1F-ADC5-2392B521EB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1CD386-6B83-43F9-893F-3E22507C0AD2}">
  <ds:schemaRefs>
    <ds:schemaRef ds:uri="http://schemas.microsoft.com/sharepoint/v3/contenttype/forms"/>
  </ds:schemaRefs>
</ds:datastoreItem>
</file>

<file path=customXml/itemProps3.xml><?xml version="1.0" encoding="utf-8"?>
<ds:datastoreItem xmlns:ds="http://schemas.openxmlformats.org/officeDocument/2006/customXml" ds:itemID="{B92B4E76-6C12-44F0-BC56-0BBE9AA4323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17</cp:revision>
  <dcterms:created xsi:type="dcterms:W3CDTF">2020-11-30T08:58:43Z</dcterms:created>
  <dcterms:modified xsi:type="dcterms:W3CDTF">2025-12-18T08:23:34Z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