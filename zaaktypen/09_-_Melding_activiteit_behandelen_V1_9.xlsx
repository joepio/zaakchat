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66925"/>
  <mc:AlternateContent xmlns:mc="http://schemas.openxmlformats.org/markup-compatibility/2006">
    <mc:Choice Requires="x15">
      <x15ac:absPath xmlns:x15ac="http://schemas.microsoft.com/office/spreadsheetml/2010/11/ac" url="https://vvng.sharepoint.com/sites/ActualisatieZTCPDC/Gedeelde documenten/General/ZTC/ZTC-Ow/"/>
    </mc:Choice>
  </mc:AlternateContent>
  <xr:revisionPtr revIDLastSave="1447" documentId="13_ncr:1_{38763C3E-54AD-402F-B0FD-B6C903BFCAED}" xr6:coauthVersionLast="47" xr6:coauthVersionMax="47" xr10:uidLastSave="{E0DAA155-FF7E-4147-8B00-9D5DCBB95FBB}"/>
  <bookViews>
    <workbookView xWindow="-120" yWindow="-16320" windowWidth="29040" windowHeight="15720" tabRatio="759" xr2:uid="{00000000-000D-0000-FFFF-FFFF00000000}"/>
  </bookViews>
  <sheets>
    <sheet name="Zaaktype" sheetId="1" r:id="rId1"/>
    <sheet name="Statussen" sheetId="2" r:id="rId2"/>
    <sheet name="Checklists" sheetId="13" r:id="rId3"/>
    <sheet name="Rollen" sheetId="3" r:id="rId4"/>
    <sheet name="Objecten" sheetId="4" r:id="rId5"/>
    <sheet name="Eigenschappen" sheetId="5" r:id="rId6"/>
    <sheet name="Informatieobjecten" sheetId="6" r:id="rId7"/>
    <sheet name="Besluiten" sheetId="7" r:id="rId8"/>
    <sheet name="Resultaten" sheetId="8" r:id="rId9"/>
    <sheet name="Deelzaken" sheetId="14" r:id="rId10"/>
    <sheet name="Gerelateerde zaken" sheetId="10" r:id="rId11"/>
    <sheet name="Afbeelding" sheetId="11" r:id="rId12"/>
    <sheet name="Figuur" sheetId="12" r:id="rId13"/>
  </sheets>
  <definedNames>
    <definedName name="_xlnm._FilterDatabase" localSheetId="8" hidden="1">Resultaten!$A$2:$U$36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10" l="1"/>
  <c r="A1" i="14"/>
  <c r="A1" i="8"/>
  <c r="A1" i="7"/>
  <c r="A1" i="6"/>
  <c r="A1" i="5"/>
  <c r="A1" i="4"/>
  <c r="A1" i="3"/>
  <c r="A1" i="13"/>
  <c r="A1" i="2"/>
</calcChain>
</file>

<file path=xl/sharedStrings.xml><?xml version="1.0" encoding="utf-8"?>
<sst xmlns="http://schemas.openxmlformats.org/spreadsheetml/2006/main" count="792" uniqueCount="397">
  <si>
    <t>Kenmerk</t>
  </si>
  <si>
    <t>Waarde</t>
  </si>
  <si>
    <t>IDENTIFICATIE</t>
  </si>
  <si>
    <t>OMSCHRIJVING</t>
  </si>
  <si>
    <t>Melding activiteit behandelen</t>
  </si>
  <si>
    <t>CATEGORIE</t>
  </si>
  <si>
    <t>Vergunningverlening</t>
  </si>
  <si>
    <t>DOEL</t>
  </si>
  <si>
    <t>Het verwerken van een melding van het voornemen tot de uitvoering van meldingsplichtige activiteiten.</t>
  </si>
  <si>
    <t>AANLEIDING</t>
  </si>
  <si>
    <t>De zaakbehandelende organisatie heeft een melding ontvangen van het voornemen tot de uitvoering van activiteiten (‘melding algemene regels’).</t>
  </si>
  <si>
    <t>TOELICHTING</t>
  </si>
  <si>
    <t>Op grond van geldende wet- en regelgeving geldt voor een initiatief geen vergunningplicht, maar moet het initiatief wel worden gemeld. Zo heeft de zaakbehandelende organisatie kennis van het initiatief, kan de zaakbehandelende organisatie anderen attenderen op de voorgenomen activiteit en heeft de zaakbehandelende organisatie eventueel de mogelijkheid om preventief te toetsen en/of om toezicht te houden. Als het nodig is, kunnen maatwerkvoorschriften worden opgelegd aan de initiatiefnemer. NB. Een melding is enkelvoudig als het gaat om de activiteit die wordt gemeld. Er zijn echter wel situaties dat moet worden overlegd met ketenpartners, bijvoorbeeld als de activiteit in een monumentaal pand plaatsvindt of in een beschermd stadsgezicht.</t>
  </si>
  <si>
    <t>INDICATIE INTERN OF EXTERN</t>
  </si>
  <si>
    <t>Extern</t>
  </si>
  <si>
    <t>HANDELING INITIATOR</t>
  </si>
  <si>
    <t>Indienen</t>
  </si>
  <si>
    <t>ONDERWERP</t>
  </si>
  <si>
    <t>Melding activiteit</t>
  </si>
  <si>
    <t>HANDELING BEHANDELAAR</t>
  </si>
  <si>
    <t>Behandelen</t>
  </si>
  <si>
    <t>DOORLOOPTIJD BEHANDELING (KALENDERDAGEN) (2.1)</t>
  </si>
  <si>
    <t>- DOORLOOPTIJD - PERIODE-EENHEID (2.2)</t>
  </si>
  <si>
    <t>week</t>
  </si>
  <si>
    <t>- DOORLOOPTIJD - PERIODEDUUR (2.2)</t>
  </si>
  <si>
    <t>4</t>
  </si>
  <si>
    <t>SERVICENORM BEHANDELING (KALENDERDAGEN) (2.1)</t>
  </si>
  <si>
    <t>OPSCHORTING / AANHOUDING MOGELIJK</t>
  </si>
  <si>
    <t>Nee</t>
  </si>
  <si>
    <t>VERLENGING MOGELIJK</t>
  </si>
  <si>
    <t>VERLENGINGSTERMIJN</t>
  </si>
  <si>
    <t>TREFWOORDEN</t>
  </si>
  <si>
    <t>activiteit, melding</t>
  </si>
  <si>
    <t>VERTROUWELIJKHEIDAANDUIDING</t>
  </si>
  <si>
    <t>Openbaar</t>
  </si>
  <si>
    <t>VERANTWOORDELIJKE</t>
  </si>
  <si>
    <t>PUBLICATIE-INDICATIE</t>
  </si>
  <si>
    <t>Ja</t>
  </si>
  <si>
    <t>PUBLICATIETEKST</t>
  </si>
  <si>
    <t>PRODUCT / DIENST:</t>
  </si>
  <si>
    <t>- NAAM</t>
  </si>
  <si>
    <t>G01 - Melding gedoogplichtige werkzaamheden (BO01 - Melding gedoogplichtige werkzaamheden)
MBZK01 - Melding gedoogplichtige werkzaamheden (BO01 - Melding gedoogplichtige werkzaamheden)
MD01 - Melding gedoogplichtige werkzaamheden (BO01 - Melding gedoogplichtige werkzaamheden)
ME01 - Melding gedoogplichtige werkzaamheden (BO01 - Melding gedoogplichtige werkzaamheden)
MI01 - Melding gedoogplichtige werkzaamheden (BO01 - Melding gedoogplichtige werkzaamheden)
MLNV01 - Melding gedoogplichtige werkzaamheden (BO01 - Melding gedoogplichtige werkzaamheden)
MO01 - Melding gedoogplichtige werkzaamheden (BO01 - Melding gedoogplichtige werkzaamheden)
P01 - Melding gedoogplichtige werkzaamheden (BO01 - Melding gedoogplichtige werkzaamheden)
W01 - Melding gedoogplichtige werkzaamheden (BO01 - Melding gedoogplichtige werkzaamheden)
G01 - Melding activiteit (RE11 - Melding activiteit)
G02 - Melding activiteit (RE11 - Melding activiteit)
G03 - Melding activiteit (RE11 - Melding activiteit)
G04 - Melding activiteit (RE11 - Melding activiteit)
G05 - Melding activiteit (RE11 - Melding activiteit)
G06 - Melding activiteit (RE11 - Melding activiteit)
ME01 - Melding activiteit (RE11 - Melding activiteit)
ME02 - Melding activiteit (RE11 - Melding activiteit)
ME03 - Melding activiteit (RE11 - Melding activiteit)
ME04 - Melding activiteit (RE11 - Melding activiteit)
MI01 - Melding activiteit (RE11 - Melding activiteit)
MI02 - Melding activiteit (RE11 - Melding activiteit)
MI03 - Melding activiteit (RE11 - Melding activiteit)
MI04 - Melding activiteit (RE11 - Melding activiteit)
MI05 - Melding activiteit (RE11 - Melding activiteit)
MI06 - Melding activiteit (RE11 - Melding activiteit)
MI07 - Melding activiteit (RE11 - Melding activiteit)
MI08 - Melding activiteit (RE11 - Melding activiteit)
P01 - Melding activiteit (RE11 - Melding activiteit)
P02 - Melding activiteit (RE11 - Melding activiteit)
P03 - Melding activiteit (RE11 - Melding activiteit)
P04 - Melding activiteit (RE11 - Melding activiteit)
P05 - Melding activiteit (RE11 - Melding activiteit)
P06 - Melding activiteit (RE11 - Melding activiteit)
P07 - Melding activiteit (RE11 - Melding activiteit)
P08 - Melding activiteit (RE11 - Melding activiteit)
P09 - Melding activiteit (RE11 - Melding activiteit)
P10 - Melding activiteit (RE11 - Melding activiteit)
P11 - Melding activiteit (RE11 - Melding activiteit)
VVR01 - Melding activiteit (RE11 - Melding activiteit)
W01 - Melding activiteit (RE11 - Melding activiteit)
W02 - Melding activiteit (RE11 - Melding activiteit)</t>
  </si>
  <si>
    <t>- LINK</t>
  </si>
  <si>
    <t>REFERENTIEPROCES:</t>
  </si>
  <si>
    <t>Behandelen melding of informatie</t>
  </si>
  <si>
    <t>https://www.gemmaonline.nl/wiki?title=Uitwerking_bedrijfsproces&amp;proces=Omgevingswet/id-ec3e309d-1a85-4788-bd36-14df42c33e73</t>
  </si>
  <si>
    <t>VERANTWOORDINGSRELATIE</t>
  </si>
  <si>
    <t>ARCHIEFCLASSIFICATIE (2.2):</t>
  </si>
  <si>
    <t>- BRON</t>
  </si>
  <si>
    <t>- CODE (2.1)</t>
  </si>
  <si>
    <t>- INDICATIE ZTC</t>
  </si>
  <si>
    <t>SELECTIELIJST PROCESTYPE (2.2):</t>
  </si>
  <si>
    <t>- NUMMER</t>
  </si>
  <si>
    <t>- PROCESOBJECTTYPE</t>
  </si>
  <si>
    <t>- SELECTIELIJST-OMSCHRIJVING</t>
  </si>
  <si>
    <t>VERSIEDATUM</t>
  </si>
  <si>
    <t>DATUM BEGIN GELDIGHEID</t>
  </si>
  <si>
    <t>DATUM EINDE GELDIGHEID</t>
  </si>
  <si>
    <t>Volgnr.</t>
  </si>
  <si>
    <t>Omschrijving</t>
  </si>
  <si>
    <t>Doorlooptijd -
duur</t>
  </si>
  <si>
    <t>Doorlooptijd -
eenheid (2.2)</t>
  </si>
  <si>
    <t>Informeren</t>
  </si>
  <si>
    <t>Statustekst</t>
  </si>
  <si>
    <t>Toelichting</t>
  </si>
  <si>
    <t>Verplichte informatieobjecten</t>
  </si>
  <si>
    <t>Verplichte zaakobjecten</t>
  </si>
  <si>
    <t>Verplichte eigenschappen</t>
  </si>
  <si>
    <t>Datum begin geldigheid</t>
  </si>
  <si>
    <t>1</t>
  </si>
  <si>
    <t>Zaak gestart</t>
  </si>
  <si>
    <t>kalenderdagen</t>
  </si>
  <si>
    <t>De zaak is geregistreerd, maar is nog geen sprake van een afgeronde registratie. Er is - al dan niet geautomatiseerd - een bevestiging van ontvangst verzonden.</t>
  </si>
  <si>
    <t>Ontvangstbevestiging
Melding activiteit</t>
  </si>
  <si>
    <t>2</t>
  </si>
  <si>
    <t>Intake afgerond</t>
  </si>
  <si>
    <t>Er is gecontroleerd of de gemeente het bevoegd gezag is om de ontvangen melding in behandeling te nemen. Als de gemeente niet het bevoegd gezag is, is de melding direct doorgestuurd naar het juiste bevoegd gezag en is de behandeling afgebroken. De melding is toegewezen aan een zaakbehandelaar (medewerker of organisatieonderdeel).</t>
  </si>
  <si>
    <t>3</t>
  </si>
  <si>
    <t>Getoetst en verwerkt</t>
  </si>
  <si>
    <t>Er is gecontroleerd of de ontvangen melding gerelateerd is aan andere verzoeken. Er is beoordeeld of de ontvangen melding meldingplichtig is. Er is (zonodig in samenspraak met in- en externe adviseurs) gecontroleerd of de melding aan de indieningsvereisten voldoet. De melding is inhoudelijk beoordeeld.</t>
  </si>
  <si>
    <t>Zaak afgerond</t>
  </si>
  <si>
    <t>Het resultaat van de behandeling van de melding is eventueel verzonden (bijvoorbeeld dat de melding niet is gedaan omdat niet aan de indieningsvereisten is voldaan). Er is eventueel een kennisgeving gedaan van de ontvangen melding. Relevante registraties zijn eventueel bijgewerkt. Indien daartoe aanleiding is geweest, is het proces voor maatwerkvoorschriften gestart. Er is eventueel een proces Toezichthouden gestart n.a.v. de ontvangen melding. De zaak is afgerond.</t>
  </si>
  <si>
    <t>Statustype</t>
  </si>
  <si>
    <t>Itemnaam</t>
  </si>
  <si>
    <t>Vraagstelling</t>
  </si>
  <si>
    <t>Verplicht</t>
  </si>
  <si>
    <t>1 - Registratie</t>
  </si>
  <si>
    <t>Is de aanvraag geregistreerd?</t>
  </si>
  <si>
    <t>Bij meldingen die via het Omgevingsloket worden ingediend ontvangt de gemeente geautomatiseerd een signaal vanuit het DSO; in dat geval kan het VTH-/zaak-systeem de melding automatisch registreren. Bij meldingen die op papier rechtstreeks bij de gemeente ingediend worden, is handmatige registratie nodig in het VTH-/zaaksysteem.</t>
  </si>
  <si>
    <t>2 - Ontvangstbevestiging</t>
  </si>
  <si>
    <t>Is een bevestiging van ontvangst verzonden?</t>
  </si>
  <si>
    <t>Er wordt onverwijld (bij voorkeur automatisch) een bevestiging van ontvangst van de melding verzonden aan de indiener. In de bevestiging wordt de dag van ontvangst van de melding vermeld. Als er geen elektronisch adres bekend is, wordt bepaald op welke wijze communicatie met de indiener plaatsvindt.</t>
  </si>
  <si>
    <t>1 - Bevoegd gezag</t>
  </si>
  <si>
    <t>Is de zaakbehandelende organisatie bevoegd de zaak te behandelen?</t>
  </si>
  <si>
    <t>Vaak is de gemeente (waar de activiteit of activiteiten geheel of in hoofdzaak zullen worden verricht) bevoegd gezag, maar er zijn uitzonderingen. Als de gemeente niet het bevoegd gezag is, stuurt de gemeente de melding direct door naar het juiste bevoegd gezag en breekt de behandeling af.</t>
  </si>
  <si>
    <t>2 - Toewijzen</t>
  </si>
  <si>
    <t>Is de zaak aan een behandelaar toegekend?</t>
  </si>
  <si>
    <t>De melding wordt toegewezen aan een hoofdbehandelaar, die als taak heeft het zorgdragen dat de melding correct en tijdig behandeld wordt en zorgt voor een integrale afstemming.</t>
  </si>
  <si>
    <t>1 - Gerelateerde verzoeken</t>
  </si>
  <si>
    <t>Is gecontroleerd of er gerelateerde verzoeken zijn?</t>
  </si>
  <si>
    <t>Er wordt gecontroleerd of er gerelateerde verzoeken zijn, die op dezelfde locatie in het DSO zijn ingediend. Ten eerste om te bepalen of er verzoeken aan elkaar gekoppeld moeten worden en ten tweede om te bepalen of er afstemming nodig is met ketenpartners/behandeldiensten.</t>
  </si>
  <si>
    <t>2 - Controleren meldingsplicht</t>
  </si>
  <si>
    <t>Geldt voor het ingediende verzoek een meldingsplicht?</t>
  </si>
  <si>
    <t>Gecontroleerd wordt of voor de activiteit of gebeurtenis een meldingsplicht geldt. Als de activiteit of gebeurtenis niet onder de voorgenoemde plicht valt, wordt de melding niet behandeld.</t>
  </si>
  <si>
    <t>3 - Indieningsvereisten</t>
  </si>
  <si>
    <t>Voldoet de melding aan de indieningsvereisten?</t>
  </si>
  <si>
    <t>Gecontroleerd wordt of de ingediende melding voldoet aan de gestelde indieningsvereisten.</t>
  </si>
  <si>
    <t>3 - Inhoudelijk behandelen</t>
  </si>
  <si>
    <t>Is de melding inhoudelijk behandeld?</t>
  </si>
  <si>
    <t>Inhoudelijke behandeling van de melding.</t>
  </si>
  <si>
    <t>1 - Verzenden resultaat</t>
  </si>
  <si>
    <t>Is het resultaat van de toetsing verzonden?</t>
  </si>
  <si>
    <t>Het resultaat van de controle/behandeling van de melding wordt verzonden aan de initiatiefnemer. Alleen als aan alle indieningsvereisten is voldaan, is de melding gedaan. Het resultaat van de controle/behandeling van de melding wordt verzonden aan de initiatiefnemer. Ook als de melding is overgedragen aan een ander bevoegd gezag wordt dit kenbaar gemaakt aan de initiatiefnemer.</t>
  </si>
  <si>
    <t>2 - Kennisgeven melding</t>
  </si>
  <si>
    <t>Is van de melding een kennisgeving gedaan?</t>
  </si>
  <si>
    <t xml:space="preserve">In een aantal gevallen is voor een melding kennisgeving verplicht. In andere gevallen kan de gemeente ervoor kiezen wel of niet een kennisgeving te doen.
Dit wordt gedaan in het elektronisch gemeenteblad. </t>
  </si>
  <si>
    <t>3 - Registraties</t>
  </si>
  <si>
    <t>Zijn de registraties bijgewerkt?</t>
  </si>
  <si>
    <t>In specifieke gevallen moeten de consequenties van de melding in een of meer lokale of landelijke registers verwerkt worden.</t>
  </si>
  <si>
    <t>4 - Maatwerkvoorschrift</t>
  </si>
  <si>
    <t>Is het proces Behandelen aanvraag t.b.v. Maatwerkvoorschrift geïnitieerd?</t>
  </si>
  <si>
    <t>De melding kan aanleiding zijn om het proces voor het opstellen van maatwerkvoorschriften te starten.</t>
  </si>
  <si>
    <t>5 - Toezicht</t>
  </si>
  <si>
    <t>Is het proces Toezichthouden geïnitieerd?</t>
  </si>
  <si>
    <t>Toezicht wordt aangestuurd. Daarbij worden eventuele inzichten uit de beoordelingsfase van de melding als aandachtspunten aan de toezichthouders meegegeven.</t>
  </si>
  <si>
    <t>Omschrijving generiek</t>
  </si>
  <si>
    <t>Soort betrokkene</t>
  </si>
  <si>
    <t>Mag zetten Statustype</t>
  </si>
  <si>
    <t>Administratief medewerker</t>
  </si>
  <si>
    <t>Behandelaar</t>
  </si>
  <si>
    <t>1 - Zaak gestart
2 - Intake afgerond
4 - Zaak afgerond</t>
  </si>
  <si>
    <t>Adviseur</t>
  </si>
  <si>
    <t>Andere organisatie</t>
  </si>
  <si>
    <t>Belanghebbende</t>
  </si>
  <si>
    <t>Niet-natuurlijk persoon</t>
  </si>
  <si>
    <t>Gemachtigde</t>
  </si>
  <si>
    <t>Natuurlijk persoon, Niet-natuurlijk persoon, Vestiging</t>
  </si>
  <si>
    <t>Initiatiefnemer</t>
  </si>
  <si>
    <t>Initiator</t>
  </si>
  <si>
    <t>Zaakbehandelaar</t>
  </si>
  <si>
    <t>3 - Registreerbaarheid getoetst</t>
  </si>
  <si>
    <t>Naam objecttype</t>
  </si>
  <si>
    <t>Niet-RSGB/RGBZ- objecttype?</t>
  </si>
  <si>
    <t>Omschrijving relatie met zaaktype</t>
  </si>
  <si>
    <t>ANDER BUITENLANDS NIET-NATUURLIJK PERSOON</t>
  </si>
  <si>
    <t>nee</t>
  </si>
  <si>
    <t>Ander buitenlands niet-natuurlijk persoon waarop de zaak betrekking heeft.</t>
  </si>
  <si>
    <t>ANDER NATUURLIJK PERSOON</t>
  </si>
  <si>
    <t>Ander natuurlijk persoon waarop de zaak betrekking heeft.</t>
  </si>
  <si>
    <t>APPARTEMENTSRECHT</t>
  </si>
  <si>
    <t>Appartementsrecht waarop de zaak betrekking heeft.</t>
  </si>
  <si>
    <t>BESLUIT</t>
  </si>
  <si>
    <t>Besluit waarop de zaak betrekking heeft.</t>
  </si>
  <si>
    <t>BUURT</t>
  </si>
  <si>
    <t>Buurt waarop de zaak betrekking heeft.</t>
  </si>
  <si>
    <t>ENKELVOUDIG DOCUMENT</t>
  </si>
  <si>
    <t>Enkelvoudig document waarop de zaak betrekking heeft.</t>
  </si>
  <si>
    <t>GEMEENTE</t>
  </si>
  <si>
    <t>Gemeente waarop de zaak betrekking heeft.</t>
  </si>
  <si>
    <t>GEMEENTELIJKE OPENBARE RUIMTE</t>
  </si>
  <si>
    <t>Gemeentelijke openbare ruimte waarop de zaak betrekking heeft.</t>
  </si>
  <si>
    <t>HANDHAVINGSOBJECT</t>
  </si>
  <si>
    <t>Handhavingsobject waarop de zaak betrekking heeft.</t>
  </si>
  <si>
    <t>HUISHOUDEN</t>
  </si>
  <si>
    <t>Huishouden waarop de zaak betrekking heeft.</t>
  </si>
  <si>
    <t>INGESCHREVEN NIET-NATUURLIJK PERSOON</t>
  </si>
  <si>
    <t>Ingeschreven niet-natuurlijk persoon waarop de zaak betrekking heeft.</t>
  </si>
  <si>
    <t>INGEZETENE</t>
  </si>
  <si>
    <t>Ingezetene waarop de zaak betrekking heeft.</t>
  </si>
  <si>
    <t>INRICHTINGSELEMENT</t>
  </si>
  <si>
    <t>Inrichtingselement waarop de zaak betrekking heeft.</t>
  </si>
  <si>
    <t>KADASTRAAL PERCEEL</t>
  </si>
  <si>
    <t>Kadastraal perceel waarop de zaak betrekking heeft.</t>
  </si>
  <si>
    <t>KUNSTWERKDEEL</t>
  </si>
  <si>
    <t>Kunstwerkdeel waarop de zaak betrekking heeft.</t>
  </si>
  <si>
    <t>LIGPLAATS</t>
  </si>
  <si>
    <t>Ligplaats waarop de zaak betrekking heeft.</t>
  </si>
  <si>
    <t>LOCATIE</t>
  </si>
  <si>
    <t>De geografische locatie waarop de zaak betrekking heeft indien deze niet geduid kan worden met een of één handhavingsobject.</t>
  </si>
  <si>
    <t>MAATSCHAPPELIJKE ACTIVITEIT</t>
  </si>
  <si>
    <t>Maatschappelijke activiteit waarop de zaak betrekking heeft.</t>
  </si>
  <si>
    <t>MEDEWERKER</t>
  </si>
  <si>
    <t>Medewerker waarop de zaak betrekking heeft.</t>
  </si>
  <si>
    <t>NIET-INGEZETENE</t>
  </si>
  <si>
    <t>Niet-ingezetene waarop de zaak betrekking heeft.</t>
  </si>
  <si>
    <t>NUMMER­AANDUIDING</t>
  </si>
  <si>
    <t>Nummeraanduiding waarop de zaak betrekking heeft.</t>
  </si>
  <si>
    <t>OPENBARE RUIMTE</t>
  </si>
  <si>
    <t>Openbare ruimte waarop de zaak betrekking heeft.</t>
  </si>
  <si>
    <t>ORGANISATORISCHE EENHEID</t>
  </si>
  <si>
    <t>Organisatorische eenheid waarop de zaak betrekking heeft.</t>
  </si>
  <si>
    <t>OVERIGE ADRESSEERBAAR OBJECT AANDUIDING</t>
  </si>
  <si>
    <t>Overige adresseerbaar object aanduiding waarop de zaak betrekking heeft.</t>
  </si>
  <si>
    <t>OVERIG GEBOUWD OBJECT</t>
  </si>
  <si>
    <t>Overig gebouwd object waarop de zaak betrekking heeft.</t>
  </si>
  <si>
    <t>OVERIG TERREIN</t>
  </si>
  <si>
    <t>Overig terrein waarop de zaak betrekking heeft.</t>
  </si>
  <si>
    <t>PAND</t>
  </si>
  <si>
    <t>Pand waarop de zaak betrekking heeft.</t>
  </si>
  <si>
    <t>SAMENGESTELD DOCUMENT</t>
  </si>
  <si>
    <t>Samengesteld informatieobject waarop de zaak betrekking heeft.</t>
  </si>
  <si>
    <t>SPOORBAANDEEL</t>
  </si>
  <si>
    <t>Spoorbaandeel waarop de zaak betrekking heeft.</t>
  </si>
  <si>
    <t>STANDPLAATS</t>
  </si>
  <si>
    <t>Standplaats waarop de zaak betrekking heeft.</t>
  </si>
  <si>
    <t>STATUS</t>
  </si>
  <si>
    <t>Status waarop de zaak betrekking heeft.</t>
  </si>
  <si>
    <t>TERREINDEEL</t>
  </si>
  <si>
    <t>Terreindeel waarop de zaak betrekking heeft.</t>
  </si>
  <si>
    <t>VERBLIJFSOBJECT</t>
  </si>
  <si>
    <t>Verblijfsobject waarop de zaak betrekking heeft.</t>
  </si>
  <si>
    <t>VESTIGING</t>
  </si>
  <si>
    <t>Vestiging waarop de zaak betrekking heeft.</t>
  </si>
  <si>
    <t>VTH-BEHEEROBJECT</t>
  </si>
  <si>
    <t>ja</t>
  </si>
  <si>
    <t>Het object (werk, verzameling werkzaamheden) waarop de zaak betrekking heeft en waarop het toezicht betrekking gaat hebben, voor zover hiervan een registratie is dan wel in die registratie wordt opgenomen.</t>
  </si>
  <si>
    <t>WATERDEEL</t>
  </si>
  <si>
    <t>Waterdeel waarop de zaak betrekking heeft.</t>
  </si>
  <si>
    <t>WEGDEEL</t>
  </si>
  <si>
    <t>Wegdeel waarop de zaak betrekking heeft.</t>
  </si>
  <si>
    <t>WIJK</t>
  </si>
  <si>
    <t>Wijk waarop de zaak betrekking heeft.</t>
  </si>
  <si>
    <t>WOONPLAATS</t>
  </si>
  <si>
    <t>Woonplaats waarop de zaak betrekking heeft.</t>
  </si>
  <si>
    <t>WOZ-DEELOBJECT</t>
  </si>
  <si>
    <t>WOZ-deelobject waarop de zaak betrekking heeft.</t>
  </si>
  <si>
    <t>WOZ-OBJECT</t>
  </si>
  <si>
    <t>WOZ-object waarop de zaak betrekking heeft.</t>
  </si>
  <si>
    <t>WOZ-WAARDE</t>
  </si>
  <si>
    <t>WOZ-waarde waarop de zaak betrekking heeft.</t>
  </si>
  <si>
    <t>ZAKELIJK RECHT</t>
  </si>
  <si>
    <t>Zakelijk recht waarop de zaak betrekking heeft.</t>
  </si>
  <si>
    <t>Naam</t>
  </si>
  <si>
    <t>Definitie</t>
  </si>
  <si>
    <t>Groep</t>
  </si>
  <si>
    <t>Formaat</t>
  </si>
  <si>
    <t>Lengte</t>
  </si>
  <si>
    <t>Kardinaliteit</t>
  </si>
  <si>
    <t>Waardenverzameling</t>
  </si>
  <si>
    <t>Startdatum activiteit</t>
  </si>
  <si>
    <t>De datum waarop de voorgenomen activiteit zal starten</t>
  </si>
  <si>
    <t>Datum/Tijd (jjjjmmdduummss)</t>
  </si>
  <si>
    <t>-</t>
  </si>
  <si>
    <t>Einddatum activiteit</t>
  </si>
  <si>
    <t>De datum waarop de voorgenomen activiteit niet meer wordt uitgevoerd</t>
  </si>
  <si>
    <t>Wet of besluit</t>
  </si>
  <si>
    <t>Aanduiding van de wet of het besluit dat op de gemelde activiteit ziet.</t>
  </si>
  <si>
    <t>Tekst</t>
  </si>
  <si>
    <t>Projectnummer</t>
  </si>
  <si>
    <t>Uniek nummer van het project waarop de zaak betrekking heeft.</t>
  </si>
  <si>
    <t>Zaken van één of meer zaaktypen kunnen met elkaar samenhangen zonder dat die samenhang blijkt uit de aan individuele zaken gerelateerde subjecten of objecten. Denk bijvoorbeeld aan de ontwikkeling van een nieuwbouwwijk of de aanleg van een (auto/spoor/water)weg (waarvoor vergunningen worden verleend, waarvoor meldingen worden gedaan, waarop toezicht wordt gehouden, en waar handhavend wordt opgetreden, et cetera). Door aan al deze zaken één projectnummer te verbinden, kunnen eenvoudig alle met dat project samenhangende zaken in beeld worden gebracht.</t>
  </si>
  <si>
    <t>Uitkomst</t>
  </si>
  <si>
    <t>De uitkomst van behandeling van de melding.</t>
  </si>
  <si>
    <t>Volgnummer</t>
  </si>
  <si>
    <t>Richting</t>
  </si>
  <si>
    <t>Informatieobjecttype</t>
  </si>
  <si>
    <t>Inkomend</t>
  </si>
  <si>
    <t>Uitgaand</t>
  </si>
  <si>
    <t>Ontvangstbevestiging</t>
  </si>
  <si>
    <t>Bericht ander bevoegd gezag</t>
  </si>
  <si>
    <t>Melding overgang bevoegdheid</t>
  </si>
  <si>
    <t>Intern</t>
  </si>
  <si>
    <t>Adviesaanvraag</t>
  </si>
  <si>
    <t>Advies</t>
  </si>
  <si>
    <t>Kennisgeving melding</t>
  </si>
  <si>
    <t>Aanvullende informatie</t>
  </si>
  <si>
    <t>Bericht niet-meldingplichtig</t>
  </si>
  <si>
    <t>Bericht afhandeling melding</t>
  </si>
  <si>
    <t>Bericht van intrekking</t>
  </si>
  <si>
    <t>Bevestiging van intrekking</t>
  </si>
  <si>
    <t>Procesverantwoording</t>
  </si>
  <si>
    <t>Legesbeschikking</t>
  </si>
  <si>
    <t>Besluittype</t>
  </si>
  <si>
    <t>OMSCHRIJVING (2.1)</t>
  </si>
  <si>
    <t>BEVOEGD GEZAG</t>
  </si>
  <si>
    <t>OMSCHRIJVING GENERIEK</t>
  </si>
  <si>
    <t>OMSCHRIJVING (2.2)</t>
  </si>
  <si>
    <t>PROCESOBJECTAARD (2.2)</t>
  </si>
  <si>
    <t>INDICATIE SPECIFIEK (2.2)</t>
  </si>
  <si>
    <t>SELECTIELIJST-KLASSE</t>
  </si>
  <si>
    <t>ARCHIEFNOMINATIE</t>
  </si>
  <si>
    <t>PROCES-TERMIJN</t>
  </si>
  <si>
    <t>ARCHIEF-ACTIETERMIJN (mnd)</t>
  </si>
  <si>
    <t>BRONDATUM ARCHIEFPROCEDURE (2.1)</t>
  </si>
  <si>
    <t>BRONDAT.  ARCH.PROC. (2.2) AFLEIDINGSWIJZE</t>
  </si>
  <si>
    <t>BRONDAT.  ARCH.PROC. (2.2) DATUMKENMERK</t>
  </si>
  <si>
    <t>BRONDAT.  ARCH.PROC. (2.2) EINDDATUM BEKEND</t>
  </si>
  <si>
    <t>BRONDAT.  ARCH.PROC. (2.2) OBJECTTYPE</t>
  </si>
  <si>
    <t>BRONDAT.  ARCH.PROC. (2.2) REGISTRATIE</t>
  </si>
  <si>
    <t>AFWIJKEND ARCHIEFREGIME VAN ZAAK-INFORMATIEOBJECTTYPEN</t>
  </si>
  <si>
    <t>VERPLICHTE ZAAKOBJECTTYPEN</t>
  </si>
  <si>
    <t>VERPLICHTE INFORMATIEOBJECTTYPEN</t>
  </si>
  <si>
    <t>LEIDT TOT BESLUITTYPE</t>
  </si>
  <si>
    <t>Afgebroken</t>
  </si>
  <si>
    <t>gem</t>
  </si>
  <si>
    <t>11.4</t>
  </si>
  <si>
    <t>Vernietigen</t>
  </si>
  <si>
    <t>Afgehandeld</t>
  </si>
  <si>
    <t>De melding is afgebroken. Deze is foutief ingeboekt, overgedragen aan een ander gezag of door de indiener ingetrokken.”</t>
  </si>
  <si>
    <t>Geaccepteerd</t>
  </si>
  <si>
    <t>Verleend</t>
  </si>
  <si>
    <t>11.1</t>
  </si>
  <si>
    <t>Vervaldatum van het procesobject</t>
  </si>
  <si>
    <t>De melding is geaccepteerd en geen van de specifieke geaccepteerd-resultaten is van toepassing.</t>
  </si>
  <si>
    <t>Geaccepteerd-kort</t>
  </si>
  <si>
    <t>kortdurende activiteit of gebeurtenis.</t>
  </si>
  <si>
    <t>11.1.1</t>
  </si>
  <si>
    <t>De melding is geaccepteerd en betreft toestemming voor een kortdurende activiteit of gebeurtenis.</t>
  </si>
  <si>
    <t>Geaccepteerd-periode</t>
  </si>
  <si>
    <t>afgebakende periode.</t>
  </si>
  <si>
    <t>11.1.2</t>
  </si>
  <si>
    <t>Eigenschap</t>
  </si>
  <si>
    <t>De melding is geaccepteerd en betreft toestemming voor een afgebakende periode.</t>
  </si>
  <si>
    <t>Geaccepteerd-actbesl</t>
  </si>
  <si>
    <t>activiteitenbesluit of 8.40 Wet milieubeheer, sloopmelding</t>
  </si>
  <si>
    <t>11.1.3</t>
  </si>
  <si>
    <t>Blijvend bewaren</t>
  </si>
  <si>
    <t>De melding is geaccepteerd betreffende activiteitenbesluit of 8.40 Wet milieubeheer, sloopmelding</t>
  </si>
  <si>
    <t>Geaccepteerd-afvwbra</t>
  </si>
  <si>
    <t>lozing afvalwater buiten inrichting en brandveilig gebruik</t>
  </si>
  <si>
    <t>De melding is geaccepteerd en betreft een lozing afvalwater buiten inrichting of brandveilig gebruik.</t>
  </si>
  <si>
    <t>Geaccepteerd-BAG</t>
  </si>
  <si>
    <t>BAG brondocument</t>
  </si>
  <si>
    <t>11.1.5</t>
  </si>
  <si>
    <t>De melding is geaccepteerd en bevat brondocumenten BAG.</t>
  </si>
  <si>
    <t>Geaccepteerd-bodenrg</t>
  </si>
  <si>
    <t>gesloten bodemsysteem</t>
  </si>
  <si>
    <t>11.1.17</t>
  </si>
  <si>
    <t>De melding is geaccepteerd voor een milieuactiviteit ivm gesloten bodemenergiesysteem</t>
  </si>
  <si>
    <t>Geaccepteerd-bwst</t>
  </si>
  <si>
    <t>toepassing bouwstoffen</t>
  </si>
  <si>
    <t>11.1.4</t>
  </si>
  <si>
    <t>De melding is geaccepteerd betreffende bouwstoffenbesluit</t>
  </si>
  <si>
    <t>Geaccepteerd-herplan</t>
  </si>
  <si>
    <t>kappen met herplantplicht</t>
  </si>
  <si>
    <t>11.1.12</t>
  </si>
  <si>
    <t>De melding is geaccepteerd en betreft vellen houtopstand met herplantplicht.</t>
  </si>
  <si>
    <t>Geaccepteerd-tnk</t>
  </si>
  <si>
    <t>sanering tank</t>
  </si>
  <si>
    <t>11.1.16</t>
  </si>
  <si>
    <t>De melding is geaccepteerd betreffende sanering tank</t>
  </si>
  <si>
    <t>Niet geaccepteerd</t>
  </si>
  <si>
    <t>Geweigerd</t>
  </si>
  <si>
    <t>11.2</t>
  </si>
  <si>
    <t>De melding is niet geaccepteerd omdat deze niet aan de indieningsvereisten voldoet.</t>
  </si>
  <si>
    <t>Niet geaccepteerd-BAG</t>
  </si>
  <si>
    <t>11.2.1</t>
  </si>
  <si>
    <t>De melding is niet geaccepteerd omdat deze niet aan de indieningsvereisten voldoet maar bevat Brondocumenten BAG</t>
  </si>
  <si>
    <t>Niet meldingplichtig</t>
  </si>
  <si>
    <r>
      <t xml:space="preserve">Voor de activiteit waarvoor de melding is gedaan, is geen melding benodigd of moet een vergunning aangevraagd of </t>
    </r>
    <r>
      <rPr>
        <sz val="10"/>
        <color rgb="FFFF0000"/>
        <rFont val="Arial"/>
        <family val="2"/>
      </rPr>
      <t>informatie ingediend</t>
    </r>
    <r>
      <rPr>
        <sz val="10"/>
        <rFont val="Arial"/>
        <family val="2"/>
      </rPr>
      <t xml:space="preserve"> worden. </t>
    </r>
  </si>
  <si>
    <t>prov</t>
  </si>
  <si>
    <t>Geaccepteerd (P)</t>
  </si>
  <si>
    <t>Behandelen van meldingen van het voornemen te ontgronden.</t>
  </si>
  <si>
    <t>Behandelen van meldingen in het kader van uniforme bodemsaneringen.</t>
  </si>
  <si>
    <t>Behandelen van meldingen van verontreiniging of aantasting van de bodem door handelingen alsmede het geven van aanwijzingen voor de te nemen maatregelen.</t>
  </si>
  <si>
    <t>Behandelen van meldingen waarvoor in het kader van de Wet natuurbescherming in bepaalde gevallen verboden buiten toepassing zijn verklaard.</t>
  </si>
  <si>
    <t>Behandelen van meldingen voor het tot ontbranding brengen van vuurwerk.</t>
  </si>
  <si>
    <t>Vervaldatum besluit</t>
  </si>
  <si>
    <t>Verlenen van toestemming voor het organiseren van evenementen in, aan of boven provinciale vaarwegen alsmede het behandelen van meldingen daarover.</t>
  </si>
  <si>
    <t>2 - Einddatum activiteit</t>
  </si>
  <si>
    <t>Behandelen van meldingen tot het oprichten, wijzigen of uitbreiden van badinrichtingen alsmede het doen van mededeling hiervan aan het betrokken college van Burgemeester en Wethouders.</t>
  </si>
  <si>
    <t>Behandelen van meldingen voor het saneren van de (water)bodem of het verminderen of verplaatsen van verontreiniging in de (water)bodem alsmede het beoordelen van de hierbij horende saneringsonderzoeken, -plannen en -verslagen en het vaststellen of sprake is van ernstige verontreiniging.</t>
  </si>
  <si>
    <t>Ingetrokken (P)</t>
  </si>
  <si>
    <t>Ingetrokken</t>
  </si>
  <si>
    <t>Bericht van intrekking
Bevestiging van intrekking</t>
  </si>
  <si>
    <t>Niet geaccepteerd (P)</t>
  </si>
  <si>
    <t>Ingangsdatum besluit</t>
  </si>
  <si>
    <t>Behandelen van meldingen over het vellen van houtopstanden.</t>
  </si>
  <si>
    <t>Overgedragen (P)</t>
  </si>
  <si>
    <t>Overgedragen</t>
  </si>
  <si>
    <t>Doorzenden van post, ongeacht de vorm, waarvan de inhoud zich niet richt op de eigen organisatie.</t>
  </si>
  <si>
    <t>Aanvaarde lozing met consequenties voor milieu</t>
  </si>
  <si>
    <t>ws</t>
  </si>
  <si>
    <t>2.4.1</t>
  </si>
  <si>
    <t>Aanvaarde lozing zonder consequenties voor milieu</t>
  </si>
  <si>
    <t>Na vervallen belang</t>
  </si>
  <si>
    <t>Niet ontvankelijk</t>
  </si>
  <si>
    <t>Buiten behandeling gelaten</t>
  </si>
  <si>
    <t>0.0</t>
  </si>
  <si>
    <t>DEELZAAKTYPE</t>
  </si>
  <si>
    <t>GERELATEERD ZAAKTYPE</t>
  </si>
  <si>
    <t>AARD RELATIE</t>
  </si>
  <si>
    <t>5 - Handhavingsbesluit nemen</t>
  </si>
  <si>
    <t>Onderwerp</t>
  </si>
  <si>
    <t>De zaak van het zaaktype 'Handhavingsbesluit nemen' waarin het bevoegd gezag heeft besloten een sanctie op te leggen, omdat aanvrager handelt in strijd met regelgeving (bijvoorbeeld de uitvoering van een activiteit zonder deze te melden). Naar aanleiding van dit besluit heeft aanvrager een melding ingediend, die wordt behandeld in onderhavige zaak van het zaaktype 'Melding activiteit behandelen'.</t>
  </si>
  <si>
    <t>4 - Controle uitvoeren</t>
  </si>
  <si>
    <t>De zaak van het zaaktype 'Controle uitvoeren' waarin is geconstateerd dat aanvrager handelt in strijd met regelgeving (bijvoorbeeld de uitvoering van een activiteit zonder deze te melden). Naar aanleiding van deze constatering heeft aanvrager een melding ingediend, die wordt behandeld in onderhavige zaak van het zaaktype 'Melding activiteit behandelen'.</t>
  </si>
  <si>
    <t>10 - Aanvraag beschikking regulier behandelen</t>
  </si>
  <si>
    <t>In sommige situaties moet gelijktijdig met het indienen van een aanvraag voor een Omgevingsvergunning tevens een melding worden gedaan (art. 8.41a Wet milieubeheer). In die gevallen wordt de zaak van het zaaktype 'Aanvraag beschikking regulier behandelen' waarin de aanvraag voor de Omgevingsvergunning wordt behandeld, gerelateerd aan onderhavige zaak van het zaaktype 'Melding activiteit behandelen'.</t>
  </si>
  <si>
    <t>1 - Advies verstrekken</t>
  </si>
  <si>
    <t>De zaak van het zaaktype 'Advies verstrekken' waarin een adviseur een bijdrage levert aan de beoordeling van de melding.</t>
  </si>
  <si>
    <t>11 - Aanvraag beschikking uitgebreid behandelen</t>
  </si>
  <si>
    <t>In sommige situaties moet gelijktijdig met het indienen van een aanvraag voor een Omgevingsvergunning tevens een melding worden gedaan (art. 8.41a Wet milieubeheer). In die gevallen wordt de zaak van het zaaktype 'Aanvraag beschikking uitgebreid behandelen' waarin de aanvraag voor de Omgevingsvergunning wordt behandeld, gerelateerd aan onderhavige zaak van het zaaktype 'Melding activiteit behandelen'.</t>
  </si>
  <si>
    <t>Vervolg</t>
  </si>
  <si>
    <t>Het Activiteitenbesluit milieu (o.a. art. 2.1 lid 4 Activiteitenbesluit milieu) en de Omgevingswet (art. 4.5 Omgevingswet) bieden het bevoegd gezag de mogelijkheid maatwerkvoorschriften te verbinden aan (aspecten van) activiteiten. Indien de zaakbehandelende organisatie van deze mogelijkheid gebruik wenst te maken en de reguliere procedure volgt voor het opstellen daarvan, wordt daartoe een gerelateerde vervolgzaak van het zaaktype 'Aanvraag beschikking regulier behandelen' gestart.</t>
  </si>
  <si>
    <t>De zaak van het zaaktype 'Controle uitvoeren' waarin toezicht wordt gehouden op de gemelde activiteit en eventuele andere activiteiten die uit de melding kunnen worden afgeleid.</t>
  </si>
  <si>
    <t>Het Activiteitenbesluit milieu (o.a. art. 2.1 lid 4 Activiteitenbesluit milieu) en de Omgevingswet (art. 4.5 Omgevingswet) bieden het bevoegd gezag de mogelijkheid maatwerkvoorschriften te verbinden aan (aspecten van) activiteiten. Indien de zaakbehandelende organisatie van deze mogelijkheid gebruik wenst te maken en de uitgebreide procedure volgt voor het opstellen daarvan, wordt daartoe een gerelateerde vervolgzaak van het zaaktype 'Aanvraag beschikking regulier behandelen' gestart.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</si>
</sst>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Liberation Sans"/>
      <family val="2"/>
    </font>
    <font>
      <sz val="11"/>
      <color theme="1"/>
      <name val="Liberation Sans"/>
      <family val="2"/>
    </font>
    <font>
      <b/>
      <sz val="10"/>
      <color rgb="FF000000"/>
      <name val="Liberation Sans"/>
      <family val="2"/>
    </font>
    <font>
      <sz val="10"/>
      <color rgb="FFFFFFFF"/>
      <name val="Liberation Sans"/>
      <family val="2"/>
    </font>
    <font>
      <sz val="10"/>
      <color rgb="FFCC0000"/>
      <name val="Liberation Sans"/>
      <family val="2"/>
    </font>
    <font>
      <b/>
      <sz val="10"/>
      <color rgb="FFFFFFFF"/>
      <name val="Liberation Sans"/>
      <family val="2"/>
    </font>
    <font>
      <i/>
      <sz val="10"/>
      <color rgb="FF808080"/>
      <name val="Liberation Sans"/>
      <family val="2"/>
    </font>
    <font>
      <sz val="10"/>
      <color rgb="FF006600"/>
      <name val="Liberation Sans"/>
      <family val="2"/>
    </font>
    <font>
      <b/>
      <sz val="24"/>
      <color rgb="FF000000"/>
      <name val="Liberation Sans"/>
      <family val="2"/>
    </font>
    <font>
      <sz val="18"/>
      <color rgb="FF000000"/>
      <name val="Liberation Sans"/>
      <family val="2"/>
    </font>
    <font>
      <sz val="12"/>
      <color rgb="FF000000"/>
      <name val="Liberation Sans"/>
      <family val="2"/>
    </font>
    <font>
      <u/>
      <sz val="10"/>
      <color rgb="FF0000EE"/>
      <name val="Liberation Sans"/>
      <family val="2"/>
    </font>
    <font>
      <sz val="10"/>
      <color rgb="FF996600"/>
      <name val="Liberation Sans"/>
      <family val="2"/>
    </font>
    <font>
      <sz val="10"/>
      <color rgb="FF333333"/>
      <name val="Liberation Sans"/>
      <family val="2"/>
    </font>
    <font>
      <b/>
      <i/>
      <u/>
      <sz val="10"/>
      <color rgb="FF000000"/>
      <name val="Liberation Sans"/>
      <family val="2"/>
    </font>
    <font>
      <sz val="10"/>
      <color theme="1"/>
      <name val="Arial"/>
      <family val="2"/>
    </font>
    <font>
      <b/>
      <sz val="10"/>
      <color theme="1"/>
      <name val="Arial"/>
      <family val="2"/>
    </font>
    <font>
      <sz val="8"/>
      <name val="Liberation Sans"/>
      <family val="2"/>
    </font>
    <font>
      <sz val="10"/>
      <name val="Arial"/>
      <family val="2"/>
    </font>
    <font>
      <b/>
      <sz val="10"/>
      <name val="Arial"/>
      <family val="2"/>
    </font>
    <font>
      <sz val="9"/>
      <name val="Segoe UI"/>
      <family val="2"/>
    </font>
    <font>
      <strike/>
      <sz val="10"/>
      <name val="Arial"/>
      <family val="2"/>
    </font>
    <font>
      <u/>
      <sz val="10"/>
      <name val="Liberation Sans"/>
      <family val="2"/>
    </font>
    <font>
      <sz val="10"/>
      <color rgb="FFFF0000"/>
      <name val="Arial"/>
      <family val="2"/>
    </font>
  </fonts>
  <fills count="9">
    <fill>
      <patternFill patternType="none"/>
    </fill>
    <fill>
      <patternFill patternType="gray125"/>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s>
  <borders count="3">
    <border>
      <left/>
      <right/>
      <top/>
      <bottom/>
      <diagonal/>
    </border>
    <border>
      <left style="thin">
        <color rgb="FF808080"/>
      </left>
      <right style="thin">
        <color rgb="FF808080"/>
      </right>
      <top style="thin">
        <color rgb="FF808080"/>
      </top>
      <bottom style="thin">
        <color rgb="FF808080"/>
      </bottom>
      <diagonal/>
    </border>
    <border>
      <left/>
      <right/>
      <top/>
      <bottom style="thin">
        <color indexed="64"/>
      </bottom>
      <diagonal/>
    </border>
  </borders>
  <cellStyleXfs count="19">
    <xf numFmtId="0" fontId="0" fillId="0" borderId="0"/>
    <xf numFmtId="0" fontId="2" fillId="0" borderId="0"/>
    <xf numFmtId="0" fontId="3" fillId="2" borderId="0"/>
    <xf numFmtId="0" fontId="3" fillId="3" borderId="0"/>
    <xf numFmtId="0" fontId="2" fillId="4" borderId="0"/>
    <xf numFmtId="0" fontId="4" fillId="5" borderId="0"/>
    <xf numFmtId="0" fontId="5" fillId="6" borderId="0"/>
    <xf numFmtId="0" fontId="6" fillId="0" borderId="0"/>
    <xf numFmtId="0" fontId="7" fillId="7" borderId="0"/>
    <xf numFmtId="0" fontId="8" fillId="0" borderId="0"/>
    <xf numFmtId="0" fontId="9" fillId="0" borderId="0"/>
    <xf numFmtId="0" fontId="10" fillId="0" borderId="0"/>
    <xf numFmtId="0" fontId="11" fillId="0" borderId="0"/>
    <xf numFmtId="0" fontId="12" fillId="8" borderId="0"/>
    <xf numFmtId="0" fontId="13" fillId="8" borderId="1"/>
    <xf numFmtId="0" fontId="14" fillId="0" borderId="0"/>
    <xf numFmtId="0" fontId="1" fillId="0" borderId="0"/>
    <xf numFmtId="0" fontId="1" fillId="0" borderId="0"/>
    <xf numFmtId="0" fontId="4" fillId="0" borderId="0"/>
  </cellStyleXfs>
  <cellXfs count="46">
    <xf numFmtId="0" fontId="0" fillId="0" borderId="0" xfId="0"/>
    <xf numFmtId="0" fontId="15" fillId="0" borderId="0" xfId="0" applyFont="1" applyAlignment="1">
      <alignment horizontal="left" vertical="top" wrapText="1"/>
    </xf>
    <xf numFmtId="0" fontId="16" fillId="0" borderId="0" xfId="0" applyFont="1" applyAlignment="1">
      <alignment horizontal="left" vertical="top" wrapText="1"/>
    </xf>
    <xf numFmtId="0" fontId="18" fillId="0" borderId="0" xfId="0" applyFont="1" applyAlignment="1">
      <alignment horizontal="left" vertical="top"/>
    </xf>
    <xf numFmtId="0" fontId="19" fillId="0" borderId="0" xfId="0" applyFont="1" applyAlignment="1">
      <alignment horizontal="left" vertical="top" wrapText="1"/>
    </xf>
    <xf numFmtId="0" fontId="18" fillId="0" borderId="0" xfId="0" applyFont="1" applyAlignment="1">
      <alignment horizontal="left" vertical="top" wrapText="1"/>
    </xf>
    <xf numFmtId="14" fontId="18" fillId="0" borderId="0" xfId="0" applyNumberFormat="1" applyFont="1" applyAlignment="1">
      <alignment horizontal="left" vertical="top" wrapText="1"/>
    </xf>
    <xf numFmtId="0" fontId="19" fillId="0" borderId="0" xfId="0" applyFont="1" applyAlignment="1">
      <alignment vertical="top"/>
    </xf>
    <xf numFmtId="0" fontId="16" fillId="0" borderId="0" xfId="0" applyFont="1" applyAlignment="1">
      <alignment vertical="top"/>
    </xf>
    <xf numFmtId="0" fontId="16" fillId="0" borderId="0" xfId="0" applyFont="1" applyAlignment="1">
      <alignment vertical="top" wrapText="1"/>
    </xf>
    <xf numFmtId="0" fontId="18" fillId="0" borderId="0" xfId="0" applyFont="1" applyAlignment="1">
      <alignment vertical="top" wrapText="1"/>
    </xf>
    <xf numFmtId="0" fontId="15" fillId="0" borderId="0" xfId="0" applyFont="1" applyAlignment="1">
      <alignment vertical="top" wrapText="1"/>
    </xf>
    <xf numFmtId="0" fontId="19" fillId="0" borderId="0" xfId="0" applyFont="1" applyAlignment="1">
      <alignment horizontal="left" vertical="top"/>
    </xf>
    <xf numFmtId="0" fontId="18" fillId="0" borderId="0" xfId="0" applyFont="1"/>
    <xf numFmtId="0" fontId="18" fillId="0" borderId="0" xfId="0" applyFont="1" applyAlignment="1">
      <alignment wrapText="1"/>
    </xf>
    <xf numFmtId="0" fontId="15" fillId="0" borderId="0" xfId="0" applyFont="1"/>
    <xf numFmtId="0" fontId="16" fillId="0" borderId="0" xfId="0" applyFont="1" applyAlignment="1">
      <alignment horizontal="left" vertical="top"/>
    </xf>
    <xf numFmtId="0" fontId="15" fillId="0" borderId="0" xfId="0" applyFont="1" applyAlignment="1">
      <alignment vertical="top"/>
    </xf>
    <xf numFmtId="14" fontId="15" fillId="0" borderId="0" xfId="0" applyNumberFormat="1" applyFont="1" applyAlignment="1">
      <alignment vertical="top" wrapText="1"/>
    </xf>
    <xf numFmtId="0" fontId="19" fillId="0" borderId="0" xfId="0" applyFont="1" applyAlignment="1">
      <alignment horizontal="left" vertical="center" wrapText="1"/>
    </xf>
    <xf numFmtId="0" fontId="18" fillId="0" borderId="0" xfId="0" applyFont="1" applyAlignment="1">
      <alignment vertical="center" wrapText="1"/>
    </xf>
    <xf numFmtId="0" fontId="19" fillId="0" borderId="0" xfId="0" applyFont="1"/>
    <xf numFmtId="0" fontId="19" fillId="0" borderId="0" xfId="0" applyFont="1" applyAlignment="1">
      <alignment wrapText="1"/>
    </xf>
    <xf numFmtId="0" fontId="19" fillId="0" borderId="0" xfId="0" applyFont="1" applyAlignment="1">
      <alignment vertical="top" wrapText="1"/>
    </xf>
    <xf numFmtId="0" fontId="18" fillId="0" borderId="0" xfId="0" quotePrefix="1" applyFont="1" applyAlignment="1">
      <alignment horizontal="left" vertical="top" wrapText="1"/>
    </xf>
    <xf numFmtId="0" fontId="19" fillId="0" borderId="0" xfId="0" quotePrefix="1" applyFont="1" applyAlignment="1">
      <alignment horizontal="left" vertical="top" wrapText="1"/>
    </xf>
    <xf numFmtId="0" fontId="22" fillId="0" borderId="0" xfId="12" applyFont="1"/>
    <xf numFmtId="0" fontId="21" fillId="0" borderId="0" xfId="0" applyFont="1" applyAlignment="1">
      <alignment horizontal="left" vertical="top" wrapText="1"/>
    </xf>
    <xf numFmtId="0" fontId="18" fillId="0" borderId="0" xfId="0" applyFont="1" applyAlignment="1">
      <alignment vertical="top"/>
    </xf>
    <xf numFmtId="0" fontId="19" fillId="0" borderId="2" xfId="0" applyFont="1" applyBorder="1" applyAlignment="1">
      <alignment vertical="top"/>
    </xf>
    <xf numFmtId="0" fontId="18" fillId="0" borderId="2" xfId="0" applyFont="1" applyBorder="1" applyAlignment="1">
      <alignment vertical="top" wrapText="1"/>
    </xf>
    <xf numFmtId="0" fontId="18" fillId="0" borderId="2" xfId="0" applyFont="1" applyBorder="1" applyAlignment="1">
      <alignment horizontal="left" vertical="top" wrapText="1"/>
    </xf>
    <xf numFmtId="0" fontId="16" fillId="0" borderId="0" xfId="0" applyFont="1" applyFill="1" applyAlignment="1">
      <alignment horizontal="left" vertical="top"/>
    </xf>
    <xf numFmtId="0" fontId="16" fillId="0" borderId="0" xfId="0" applyFont="1" applyFill="1" applyAlignment="1">
      <alignment vertical="top"/>
    </xf>
    <xf numFmtId="0" fontId="16" fillId="0" borderId="0" xfId="0" applyFont="1" applyFill="1" applyAlignment="1">
      <alignment horizontal="left" vertical="top" wrapText="1"/>
    </xf>
    <xf numFmtId="0" fontId="15" fillId="0" borderId="0" xfId="0" applyFont="1" applyFill="1" applyAlignment="1">
      <alignment horizontal="left" vertical="top" wrapText="1"/>
    </xf>
    <xf numFmtId="0" fontId="15" fillId="0" borderId="0" xfId="0" applyFont="1" applyFill="1" applyAlignment="1">
      <alignment vertical="top" wrapText="1"/>
    </xf>
    <xf numFmtId="0" fontId="15" fillId="0" borderId="0" xfId="0" applyFont="1" applyFill="1"/>
    <xf numFmtId="0" fontId="19" fillId="0" borderId="0" xfId="0" applyFont="1" applyFill="1" applyAlignment="1">
      <alignment vertical="top"/>
    </xf>
    <xf numFmtId="0" fontId="19" fillId="0" borderId="0" xfId="0" applyFont="1" applyFill="1" applyAlignment="1">
      <alignment horizontal="left" vertical="top"/>
    </xf>
    <xf numFmtId="0" fontId="19" fillId="0" borderId="0" xfId="0" applyFont="1" applyFill="1" applyAlignment="1">
      <alignment horizontal="left" vertical="top" wrapText="1"/>
    </xf>
    <xf numFmtId="0" fontId="19" fillId="0" borderId="0" xfId="0" applyFont="1" applyFill="1" applyAlignment="1">
      <alignment vertical="top" wrapText="1"/>
    </xf>
    <xf numFmtId="0" fontId="18" fillId="0" borderId="0" xfId="0" applyFont="1" applyFill="1" applyAlignment="1">
      <alignment vertical="top" wrapText="1"/>
    </xf>
    <xf numFmtId="0" fontId="18" fillId="0" borderId="0" xfId="0" applyFont="1" applyFill="1" applyAlignment="1">
      <alignment horizontal="left" vertical="top" wrapText="1"/>
    </xf>
    <xf numFmtId="0" fontId="20" fillId="0" borderId="0" xfId="0" applyFont="1" applyFill="1" applyAlignment="1">
      <alignment vertical="top" wrapText="1"/>
    </xf>
    <xf numFmtId="0" fontId="21" fillId="0" borderId="0" xfId="0" applyFont="1" applyFill="1" applyAlignment="1">
      <alignment vertical="top" wrapText="1"/>
    </xf>
  </cellXfs>
  <cellStyles count="19">
    <cellStyle name="Accent" xfId="1" xr:uid="{00000000-0005-0000-0000-000000000000}"/>
    <cellStyle name="Accent 1" xfId="2" xr:uid="{00000000-0005-0000-0000-000001000000}"/>
    <cellStyle name="Accent 2" xfId="3" xr:uid="{00000000-0005-0000-0000-000002000000}"/>
    <cellStyle name="Accent 3" xfId="4" xr:uid="{00000000-0005-0000-0000-000003000000}"/>
    <cellStyle name="Bad" xfId="5" xr:uid="{00000000-0005-0000-0000-000004000000}"/>
    <cellStyle name="Error" xfId="6" xr:uid="{00000000-0005-0000-0000-000005000000}"/>
    <cellStyle name="Footnote" xfId="7" xr:uid="{00000000-0005-0000-0000-000006000000}"/>
    <cellStyle name="Good" xfId="8" xr:uid="{00000000-0005-0000-0000-000007000000}"/>
    <cellStyle name="Heading (user)" xfId="9" xr:uid="{00000000-0005-0000-0000-000008000000}"/>
    <cellStyle name="Heading 1" xfId="10" xr:uid="{00000000-0005-0000-0000-000009000000}"/>
    <cellStyle name="Heading 2" xfId="11" xr:uid="{00000000-0005-0000-0000-00000A000000}"/>
    <cellStyle name="Hyperlink" xfId="12" xr:uid="{00000000-0005-0000-0000-00000B000000}"/>
    <cellStyle name="Neutral" xfId="13" xr:uid="{00000000-0005-0000-0000-00000C000000}"/>
    <cellStyle name="Note" xfId="14" xr:uid="{00000000-0005-0000-0000-00000D000000}"/>
    <cellStyle name="Result (user)" xfId="15" xr:uid="{00000000-0005-0000-0000-00000E000000}"/>
    <cellStyle name="Standaard" xfId="0" builtinId="0" customBuiltin="1"/>
    <cellStyle name="Status" xfId="16" xr:uid="{00000000-0005-0000-0000-000010000000}"/>
    <cellStyle name="Text" xfId="17" xr:uid="{00000000-0005-0000-0000-000011000000}"/>
    <cellStyle name="Warning" xfId="18" xr:uid="{00000000-0005-0000-0000-00001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gemmaonline.nl/wiki?title=Uitwerking_bedrijfsproces&amp;proces=Omgevingswet/id-ec3e309d-1a85-4788-bd36-14df42c33e73"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Blad1"/>
  <dimension ref="A1:AMJ44"/>
  <sheetViews>
    <sheetView tabSelected="1" workbookViewId="0">
      <pane xSplit="1" ySplit="1" topLeftCell="B2" activePane="bottomRight" state="frozen"/>
      <selection pane="topRight" activeCell="B3" sqref="B3"/>
      <selection pane="bottomLeft" activeCell="B3" sqref="B3"/>
      <selection pane="bottomRight" activeCell="B31" sqref="B31"/>
    </sheetView>
  </sheetViews>
  <sheetFormatPr defaultColWidth="8.75" defaultRowHeight="12.75" x14ac:dyDescent="0.2"/>
  <cols>
    <col min="1" max="1" width="48.5" style="4" customWidth="1"/>
    <col min="2" max="1024" width="70.625" style="5" customWidth="1"/>
    <col min="1025" max="16384" width="8.75" style="14"/>
  </cols>
  <sheetData>
    <row r="1" spans="1:2" s="13" customFormat="1" x14ac:dyDescent="0.2">
      <c r="A1" s="12" t="s">
        <v>0</v>
      </c>
      <c r="B1" s="12" t="s">
        <v>1</v>
      </c>
    </row>
    <row r="2" spans="1:2" x14ac:dyDescent="0.2">
      <c r="A2" s="4" t="s">
        <v>2</v>
      </c>
      <c r="B2" s="4">
        <v>9</v>
      </c>
    </row>
    <row r="3" spans="1:2" x14ac:dyDescent="0.2">
      <c r="A3" s="4" t="s">
        <v>3</v>
      </c>
      <c r="B3" s="4" t="s">
        <v>4</v>
      </c>
    </row>
    <row r="4" spans="1:2" x14ac:dyDescent="0.2">
      <c r="A4" s="4" t="s">
        <v>5</v>
      </c>
      <c r="B4" s="5" t="s">
        <v>6</v>
      </c>
    </row>
    <row r="5" spans="1:2" ht="25.5" x14ac:dyDescent="0.2">
      <c r="A5" s="4" t="s">
        <v>7</v>
      </c>
      <c r="B5" s="5" t="s">
        <v>8</v>
      </c>
    </row>
    <row r="6" spans="1:2" ht="25.5" x14ac:dyDescent="0.2">
      <c r="A6" s="4" t="s">
        <v>9</v>
      </c>
      <c r="B6" s="5" t="s">
        <v>10</v>
      </c>
    </row>
    <row r="7" spans="1:2" ht="114.75" x14ac:dyDescent="0.2">
      <c r="A7" s="4" t="s">
        <v>11</v>
      </c>
      <c r="B7" s="5" t="s">
        <v>12</v>
      </c>
    </row>
    <row r="8" spans="1:2" x14ac:dyDescent="0.2">
      <c r="A8" s="4" t="s">
        <v>13</v>
      </c>
      <c r="B8" s="5" t="s">
        <v>14</v>
      </c>
    </row>
    <row r="9" spans="1:2" x14ac:dyDescent="0.2">
      <c r="A9" s="4" t="s">
        <v>15</v>
      </c>
      <c r="B9" s="5" t="s">
        <v>16</v>
      </c>
    </row>
    <row r="10" spans="1:2" x14ac:dyDescent="0.2">
      <c r="A10" s="4" t="s">
        <v>17</v>
      </c>
      <c r="B10" s="5" t="s">
        <v>18</v>
      </c>
    </row>
    <row r="11" spans="1:2" x14ac:dyDescent="0.2">
      <c r="A11" s="4" t="s">
        <v>19</v>
      </c>
      <c r="B11" s="5" t="s">
        <v>20</v>
      </c>
    </row>
    <row r="12" spans="1:2" x14ac:dyDescent="0.2">
      <c r="A12" s="4" t="s">
        <v>21</v>
      </c>
      <c r="B12" s="5">
        <v>28</v>
      </c>
    </row>
    <row r="13" spans="1:2" x14ac:dyDescent="0.2">
      <c r="A13" s="24" t="s">
        <v>22</v>
      </c>
      <c r="B13" s="5" t="s">
        <v>23</v>
      </c>
    </row>
    <row r="14" spans="1:2" x14ac:dyDescent="0.2">
      <c r="A14" s="24" t="s">
        <v>24</v>
      </c>
      <c r="B14" s="24" t="s">
        <v>25</v>
      </c>
    </row>
    <row r="15" spans="1:2" x14ac:dyDescent="0.2">
      <c r="A15" s="4" t="s">
        <v>26</v>
      </c>
      <c r="B15" s="5">
        <v>28</v>
      </c>
    </row>
    <row r="16" spans="1:2" x14ac:dyDescent="0.2">
      <c r="A16" s="24" t="s">
        <v>22</v>
      </c>
      <c r="B16" s="5" t="s">
        <v>23</v>
      </c>
    </row>
    <row r="17" spans="1:2" x14ac:dyDescent="0.2">
      <c r="A17" s="24" t="s">
        <v>24</v>
      </c>
      <c r="B17" s="24" t="s">
        <v>25</v>
      </c>
    </row>
    <row r="18" spans="1:2" x14ac:dyDescent="0.2">
      <c r="A18" s="4" t="s">
        <v>27</v>
      </c>
      <c r="B18" s="5" t="s">
        <v>28</v>
      </c>
    </row>
    <row r="19" spans="1:2" x14ac:dyDescent="0.2">
      <c r="A19" s="4" t="s">
        <v>29</v>
      </c>
      <c r="B19" s="5" t="s">
        <v>28</v>
      </c>
    </row>
    <row r="20" spans="1:2" x14ac:dyDescent="0.2">
      <c r="A20" s="4" t="s">
        <v>30</v>
      </c>
    </row>
    <row r="21" spans="1:2" x14ac:dyDescent="0.2">
      <c r="A21" s="4" t="s">
        <v>31</v>
      </c>
      <c r="B21" s="5" t="s">
        <v>32</v>
      </c>
    </row>
    <row r="22" spans="1:2" x14ac:dyDescent="0.2">
      <c r="A22" s="4" t="s">
        <v>33</v>
      </c>
      <c r="B22" s="5" t="s">
        <v>34</v>
      </c>
    </row>
    <row r="23" spans="1:2" x14ac:dyDescent="0.2">
      <c r="A23" s="4" t="s">
        <v>35</v>
      </c>
    </row>
    <row r="24" spans="1:2" x14ac:dyDescent="0.2">
      <c r="A24" s="4" t="s">
        <v>36</v>
      </c>
      <c r="B24" s="5" t="s">
        <v>37</v>
      </c>
    </row>
    <row r="25" spans="1:2" x14ac:dyDescent="0.2">
      <c r="A25" s="4" t="s">
        <v>38</v>
      </c>
    </row>
    <row r="26" spans="1:2" x14ac:dyDescent="0.2">
      <c r="A26" s="4" t="s">
        <v>39</v>
      </c>
    </row>
    <row r="27" spans="1:2" ht="409.5" x14ac:dyDescent="0.2">
      <c r="A27" s="25" t="s">
        <v>40</v>
      </c>
      <c r="B27" s="5" t="s">
        <v>41</v>
      </c>
    </row>
    <row r="28" spans="1:2" x14ac:dyDescent="0.2">
      <c r="A28" s="25" t="s">
        <v>42</v>
      </c>
    </row>
    <row r="29" spans="1:2" x14ac:dyDescent="0.2">
      <c r="A29" s="25" t="s">
        <v>43</v>
      </c>
      <c r="B29" s="14"/>
    </row>
    <row r="30" spans="1:2" x14ac:dyDescent="0.2">
      <c r="A30" s="25" t="s">
        <v>40</v>
      </c>
      <c r="B30" s="5" t="s">
        <v>44</v>
      </c>
    </row>
    <row r="31" spans="1:2" x14ac:dyDescent="0.2">
      <c r="A31" s="25" t="s">
        <v>42</v>
      </c>
      <c r="B31" s="26" t="s">
        <v>45</v>
      </c>
    </row>
    <row r="32" spans="1:2" x14ac:dyDescent="0.2">
      <c r="A32" s="4" t="s">
        <v>46</v>
      </c>
    </row>
    <row r="33" spans="1:2" x14ac:dyDescent="0.2">
      <c r="A33" s="5" t="s">
        <v>47</v>
      </c>
      <c r="B33" s="3"/>
    </row>
    <row r="34" spans="1:2" x14ac:dyDescent="0.2">
      <c r="A34" s="24" t="s">
        <v>48</v>
      </c>
      <c r="B34" s="3"/>
    </row>
    <row r="35" spans="1:2" x14ac:dyDescent="0.2">
      <c r="A35" s="25" t="s">
        <v>49</v>
      </c>
      <c r="B35" s="3"/>
    </row>
    <row r="36" spans="1:2" x14ac:dyDescent="0.2">
      <c r="A36" s="24" t="s">
        <v>50</v>
      </c>
      <c r="B36" s="3"/>
    </row>
    <row r="37" spans="1:2" x14ac:dyDescent="0.2">
      <c r="A37" s="24" t="s">
        <v>51</v>
      </c>
      <c r="B37" s="3"/>
    </row>
    <row r="38" spans="1:2" x14ac:dyDescent="0.2">
      <c r="A38" s="24" t="s">
        <v>40</v>
      </c>
      <c r="B38" s="3"/>
    </row>
    <row r="39" spans="1:2" x14ac:dyDescent="0.2">
      <c r="A39" s="24" t="s">
        <v>52</v>
      </c>
      <c r="B39" s="3"/>
    </row>
    <row r="40" spans="1:2" x14ac:dyDescent="0.2">
      <c r="A40" s="24" t="s">
        <v>53</v>
      </c>
      <c r="B40" s="3"/>
    </row>
    <row r="41" spans="1:2" x14ac:dyDescent="0.2">
      <c r="A41" s="24" t="s">
        <v>54</v>
      </c>
      <c r="B41" s="3"/>
    </row>
    <row r="42" spans="1:2" x14ac:dyDescent="0.2">
      <c r="A42" s="4" t="s">
        <v>55</v>
      </c>
      <c r="B42" s="6">
        <v>46009</v>
      </c>
    </row>
    <row r="43" spans="1:2" x14ac:dyDescent="0.2">
      <c r="A43" s="4" t="s">
        <v>56</v>
      </c>
      <c r="B43" s="6">
        <v>43800</v>
      </c>
    </row>
    <row r="44" spans="1:2" x14ac:dyDescent="0.2">
      <c r="A44" s="4" t="s">
        <v>57</v>
      </c>
    </row>
  </sheetData>
  <hyperlinks>
    <hyperlink ref="B31" r:id="rId1" xr:uid="{DA6E7C7E-8FC4-40D5-B2FF-94CBECFBC9CD}"/>
  </hyperlinks>
  <pageMargins left="0" right="0" top="0.39370078740157483" bottom="0.39370078740157483" header="0" footer="0"/>
  <pageSetup paperSize="9" orientation="portrait" verticalDpi="0" r:id="rId2"/>
  <headerFooter>
    <oddHeader>&amp;C&amp;A</oddHeader>
    <oddFooter>&amp;CPagina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Blad2"/>
  <dimension ref="A1:AML6"/>
  <sheetViews>
    <sheetView zoomScaleNormal="100" workbookViewId="0">
      <pane xSplit="2" ySplit="2" topLeftCell="C3" activePane="bottomRight" state="frozen"/>
      <selection pane="topRight"/>
      <selection pane="bottomLeft"/>
      <selection pane="bottomRight" activeCell="G5" sqref="G5"/>
    </sheetView>
  </sheetViews>
  <sheetFormatPr defaultColWidth="8.75" defaultRowHeight="12.75" x14ac:dyDescent="0.2"/>
  <cols>
    <col min="1" max="1" width="9.5" style="5" customWidth="1"/>
    <col min="2" max="2" width="24.125" style="5" customWidth="1"/>
    <col min="3" max="3" width="12.125" style="5" customWidth="1"/>
    <col min="4" max="4" width="12.75" style="5" customWidth="1"/>
    <col min="5" max="6" width="12.625" style="5" customWidth="1"/>
    <col min="7" max="7" width="56.125" style="5" customWidth="1"/>
    <col min="8" max="10" width="24" style="5" customWidth="1"/>
    <col min="11" max="11" width="11.625" style="5" customWidth="1"/>
    <col min="12" max="1026" width="35.375" style="5" customWidth="1"/>
    <col min="1027" max="16384" width="8.75" style="14"/>
  </cols>
  <sheetData>
    <row r="1" spans="1:11" s="21" customFormat="1" x14ac:dyDescent="0.2">
      <c r="A1" s="12" t="str">
        <f>CONCATENATE("Statustypen bij zaaktype ",Zaaktype!B2,": ",Zaaktype!B3)</f>
        <v>Statustypen bij zaaktype 9: Melding activiteit behandelen</v>
      </c>
      <c r="B1" s="12"/>
      <c r="C1" s="12"/>
      <c r="D1" s="12"/>
      <c r="E1" s="12"/>
      <c r="F1" s="12"/>
      <c r="G1" s="12"/>
      <c r="H1" s="12"/>
      <c r="I1" s="12"/>
      <c r="J1" s="12"/>
      <c r="K1" s="12"/>
    </row>
    <row r="2" spans="1:11" s="22" customFormat="1" ht="36.75" customHeight="1" x14ac:dyDescent="0.2">
      <c r="A2" s="4" t="s">
        <v>58</v>
      </c>
      <c r="B2" s="4" t="s">
        <v>59</v>
      </c>
      <c r="C2" s="4" t="s">
        <v>60</v>
      </c>
      <c r="D2" s="4" t="s">
        <v>61</v>
      </c>
      <c r="E2" s="4" t="s">
        <v>62</v>
      </c>
      <c r="F2" s="4" t="s">
        <v>63</v>
      </c>
      <c r="G2" s="4" t="s">
        <v>64</v>
      </c>
      <c r="H2" s="4" t="s">
        <v>65</v>
      </c>
      <c r="I2" s="4" t="s">
        <v>66</v>
      </c>
      <c r="J2" s="4" t="s">
        <v>67</v>
      </c>
      <c r="K2" s="4" t="s">
        <v>68</v>
      </c>
    </row>
    <row r="3" spans="1:11" ht="38.25" x14ac:dyDescent="0.2">
      <c r="A3" s="10" t="s">
        <v>69</v>
      </c>
      <c r="B3" s="5" t="s">
        <v>70</v>
      </c>
      <c r="C3" s="5">
        <v>0</v>
      </c>
      <c r="D3" s="5" t="s">
        <v>71</v>
      </c>
      <c r="E3" s="5" t="s">
        <v>28</v>
      </c>
      <c r="G3" s="5" t="s">
        <v>72</v>
      </c>
      <c r="H3" s="5" t="s">
        <v>73</v>
      </c>
      <c r="K3" s="6">
        <v>43800</v>
      </c>
    </row>
    <row r="4" spans="1:11" ht="63.75" x14ac:dyDescent="0.2">
      <c r="A4" s="10" t="s">
        <v>74</v>
      </c>
      <c r="B4" s="5" t="s">
        <v>75</v>
      </c>
      <c r="C4" s="5">
        <v>2</v>
      </c>
      <c r="D4" s="5" t="s">
        <v>71</v>
      </c>
      <c r="E4" s="5" t="s">
        <v>28</v>
      </c>
      <c r="G4" s="5" t="s">
        <v>76</v>
      </c>
      <c r="H4" s="27"/>
      <c r="K4" s="6">
        <v>43800</v>
      </c>
    </row>
    <row r="5" spans="1:11" ht="63.75" x14ac:dyDescent="0.2">
      <c r="A5" s="10" t="s">
        <v>77</v>
      </c>
      <c r="B5" s="5" t="s">
        <v>78</v>
      </c>
      <c r="C5" s="5">
        <v>24</v>
      </c>
      <c r="D5" s="5" t="s">
        <v>71</v>
      </c>
      <c r="E5" s="5" t="s">
        <v>28</v>
      </c>
      <c r="G5" s="5" t="s">
        <v>79</v>
      </c>
      <c r="H5" s="27"/>
      <c r="J5" s="27"/>
      <c r="K5" s="6">
        <v>43800</v>
      </c>
    </row>
    <row r="6" spans="1:11" ht="89.25" x14ac:dyDescent="0.2">
      <c r="A6" s="10" t="s">
        <v>25</v>
      </c>
      <c r="B6" s="5" t="s">
        <v>80</v>
      </c>
      <c r="C6" s="5">
        <v>2</v>
      </c>
      <c r="D6" s="5" t="s">
        <v>71</v>
      </c>
      <c r="E6" s="5" t="s">
        <v>28</v>
      </c>
      <c r="G6" s="5" t="s">
        <v>81</v>
      </c>
      <c r="K6" s="6">
        <v>43800</v>
      </c>
    </row>
  </sheetData>
  <phoneticPr fontId="17" type="noConversion"/>
  <pageMargins left="0" right="0" top="0.39370078740157483" bottom="0.39370078740157483" header="0" footer="0"/>
  <headerFooter>
    <oddHeader>&amp;C&amp;A</oddHeader>
    <oddFooter>&amp;CPagina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3DBCE-029E-46DB-8EAA-4E0E74D113E4}">
  <dimension ref="A1:F15"/>
  <sheetViews>
    <sheetView workbookViewId="0">
      <pane xSplit="3" ySplit="2" topLeftCell="D3" activePane="bottomRight" state="frozen"/>
      <selection pane="topRight"/>
      <selection pane="bottomLeft"/>
      <selection pane="bottomRight" activeCell="C5" sqref="C5"/>
    </sheetView>
  </sheetViews>
  <sheetFormatPr defaultColWidth="8.75" defaultRowHeight="12.75" x14ac:dyDescent="0.2"/>
  <cols>
    <col min="1" max="1" width="4.25" style="10" customWidth="1"/>
    <col min="2" max="2" width="24.25" style="10" customWidth="1"/>
    <col min="3" max="3" width="23.25" style="10" customWidth="1"/>
    <col min="4" max="4" width="44" style="10" customWidth="1"/>
    <col min="5" max="5" width="8.75" style="10"/>
    <col min="6" max="6" width="61.5" style="10" customWidth="1"/>
    <col min="7" max="16384" width="8.75" style="10"/>
  </cols>
  <sheetData>
    <row r="1" spans="1:6" s="28" customFormat="1" x14ac:dyDescent="0.2">
      <c r="A1" s="7" t="str">
        <f>CONCATENATE("Checklistst bij zaaktype ",Zaaktype!B2,": ",Zaaktype!B3)</f>
        <v>Checklistst bij zaaktype 9: Melding activiteit behandelen</v>
      </c>
    </row>
    <row r="2" spans="1:6" s="28" customFormat="1" x14ac:dyDescent="0.2">
      <c r="A2" s="29" t="s">
        <v>82</v>
      </c>
      <c r="B2" s="29"/>
      <c r="C2" s="29" t="s">
        <v>83</v>
      </c>
      <c r="D2" s="29" t="s">
        <v>84</v>
      </c>
      <c r="E2" s="29" t="s">
        <v>85</v>
      </c>
      <c r="F2" s="29" t="s">
        <v>64</v>
      </c>
    </row>
    <row r="3" spans="1:6" ht="63.75" x14ac:dyDescent="0.2">
      <c r="A3" s="23" t="s">
        <v>69</v>
      </c>
      <c r="B3" s="23" t="s">
        <v>70</v>
      </c>
      <c r="C3" s="10" t="s">
        <v>86</v>
      </c>
      <c r="D3" s="10" t="s">
        <v>87</v>
      </c>
      <c r="E3" s="10" t="s">
        <v>28</v>
      </c>
      <c r="F3" s="10" t="s">
        <v>88</v>
      </c>
    </row>
    <row r="4" spans="1:6" ht="51" x14ac:dyDescent="0.2">
      <c r="A4" s="30" t="s">
        <v>69</v>
      </c>
      <c r="B4" s="30" t="s">
        <v>70</v>
      </c>
      <c r="C4" s="30" t="s">
        <v>89</v>
      </c>
      <c r="D4" s="30" t="s">
        <v>90</v>
      </c>
      <c r="E4" s="30" t="s">
        <v>37</v>
      </c>
      <c r="F4" s="30" t="s">
        <v>91</v>
      </c>
    </row>
    <row r="5" spans="1:6" ht="51" x14ac:dyDescent="0.2">
      <c r="A5" s="23" t="s">
        <v>74</v>
      </c>
      <c r="B5" s="23" t="s">
        <v>75</v>
      </c>
      <c r="C5" s="10" t="s">
        <v>92</v>
      </c>
      <c r="D5" s="10" t="s">
        <v>93</v>
      </c>
      <c r="E5" s="10" t="s">
        <v>28</v>
      </c>
      <c r="F5" s="10" t="s">
        <v>94</v>
      </c>
    </row>
    <row r="6" spans="1:6" ht="38.25" x14ac:dyDescent="0.2">
      <c r="A6" s="31">
        <v>2</v>
      </c>
      <c r="B6" s="30" t="s">
        <v>75</v>
      </c>
      <c r="C6" s="30" t="s">
        <v>95</v>
      </c>
      <c r="D6" s="30" t="s">
        <v>96</v>
      </c>
      <c r="E6" s="30" t="s">
        <v>28</v>
      </c>
      <c r="F6" s="30" t="s">
        <v>97</v>
      </c>
    </row>
    <row r="7" spans="1:6" ht="51" x14ac:dyDescent="0.2">
      <c r="A7" s="4">
        <v>3</v>
      </c>
      <c r="B7" s="23" t="s">
        <v>78</v>
      </c>
      <c r="C7" s="10" t="s">
        <v>98</v>
      </c>
      <c r="D7" s="10" t="s">
        <v>99</v>
      </c>
      <c r="E7" s="10" t="s">
        <v>37</v>
      </c>
      <c r="F7" s="10" t="s">
        <v>100</v>
      </c>
    </row>
    <row r="8" spans="1:6" ht="38.25" x14ac:dyDescent="0.2">
      <c r="A8" s="5">
        <v>3</v>
      </c>
      <c r="B8" s="10" t="s">
        <v>78</v>
      </c>
      <c r="C8" s="10" t="s">
        <v>101</v>
      </c>
      <c r="D8" s="10" t="s">
        <v>102</v>
      </c>
      <c r="E8" s="10" t="s">
        <v>37</v>
      </c>
      <c r="F8" s="10" t="s">
        <v>103</v>
      </c>
    </row>
    <row r="9" spans="1:6" ht="25.5" x14ac:dyDescent="0.2">
      <c r="A9" s="5">
        <v>3</v>
      </c>
      <c r="B9" s="10" t="s">
        <v>78</v>
      </c>
      <c r="C9" s="10" t="s">
        <v>104</v>
      </c>
      <c r="D9" s="10" t="s">
        <v>105</v>
      </c>
      <c r="E9" s="10" t="s">
        <v>37</v>
      </c>
      <c r="F9" s="10" t="s">
        <v>106</v>
      </c>
    </row>
    <row r="10" spans="1:6" x14ac:dyDescent="0.2">
      <c r="A10" s="31">
        <v>3</v>
      </c>
      <c r="B10" s="30" t="s">
        <v>78</v>
      </c>
      <c r="C10" s="30" t="s">
        <v>107</v>
      </c>
      <c r="D10" s="30" t="s">
        <v>108</v>
      </c>
      <c r="E10" s="30" t="s">
        <v>37</v>
      </c>
      <c r="F10" s="30" t="s">
        <v>109</v>
      </c>
    </row>
    <row r="11" spans="1:6" ht="63.75" x14ac:dyDescent="0.2">
      <c r="A11" s="4">
        <v>4</v>
      </c>
      <c r="B11" s="23" t="s">
        <v>80</v>
      </c>
      <c r="C11" s="10" t="s">
        <v>110</v>
      </c>
      <c r="D11" s="10" t="s">
        <v>111</v>
      </c>
      <c r="E11" s="10" t="s">
        <v>28</v>
      </c>
      <c r="F11" s="10" t="s">
        <v>112</v>
      </c>
    </row>
    <row r="12" spans="1:6" ht="38.25" x14ac:dyDescent="0.2">
      <c r="A12" s="5">
        <v>4</v>
      </c>
      <c r="B12" s="10" t="s">
        <v>80</v>
      </c>
      <c r="C12" s="10" t="s">
        <v>113</v>
      </c>
      <c r="D12" s="10" t="s">
        <v>114</v>
      </c>
      <c r="E12" s="10" t="s">
        <v>28</v>
      </c>
      <c r="F12" s="10" t="s">
        <v>115</v>
      </c>
    </row>
    <row r="13" spans="1:6" ht="25.5" x14ac:dyDescent="0.2">
      <c r="A13" s="5">
        <v>4</v>
      </c>
      <c r="B13" s="10" t="s">
        <v>80</v>
      </c>
      <c r="C13" s="10" t="s">
        <v>116</v>
      </c>
      <c r="D13" s="10" t="s">
        <v>117</v>
      </c>
      <c r="E13" s="10" t="s">
        <v>28</v>
      </c>
      <c r="F13" s="10" t="s">
        <v>118</v>
      </c>
    </row>
    <row r="14" spans="1:6" ht="25.5" x14ac:dyDescent="0.2">
      <c r="A14" s="5">
        <v>4</v>
      </c>
      <c r="B14" s="10" t="s">
        <v>80</v>
      </c>
      <c r="C14" s="10" t="s">
        <v>119</v>
      </c>
      <c r="D14" s="10" t="s">
        <v>120</v>
      </c>
      <c r="E14" s="10" t="s">
        <v>28</v>
      </c>
      <c r="F14" s="10" t="s">
        <v>121</v>
      </c>
    </row>
    <row r="15" spans="1:6" ht="38.25" x14ac:dyDescent="0.2">
      <c r="A15" s="31">
        <v>4</v>
      </c>
      <c r="B15" s="30" t="s">
        <v>80</v>
      </c>
      <c r="C15" s="30" t="s">
        <v>122</v>
      </c>
      <c r="D15" s="30" t="s">
        <v>123</v>
      </c>
      <c r="E15" s="30" t="s">
        <v>28</v>
      </c>
      <c r="F15" s="30" t="s">
        <v>124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Blad3"/>
  <dimension ref="A1:AMJ8"/>
  <sheetViews>
    <sheetView workbookViewId="0">
      <pane xSplit="1" ySplit="2" topLeftCell="B3" activePane="bottomRight" state="frozen"/>
      <selection pane="topRight"/>
      <selection pane="bottomLeft"/>
      <selection pane="bottomRight"/>
    </sheetView>
  </sheetViews>
  <sheetFormatPr defaultColWidth="8.75" defaultRowHeight="12.75" x14ac:dyDescent="0.2"/>
  <cols>
    <col min="1" max="1" width="49.75" style="5" customWidth="1"/>
    <col min="2" max="2" width="20.625" style="5" customWidth="1"/>
    <col min="3" max="3" width="20.25" style="5" customWidth="1"/>
    <col min="4" max="4" width="25.5" style="5" customWidth="1"/>
    <col min="5" max="5" width="27.25" style="5" customWidth="1"/>
    <col min="6" max="1024" width="45" style="5" customWidth="1"/>
    <col min="1025" max="16384" width="8.75" style="10"/>
  </cols>
  <sheetData>
    <row r="1" spans="1:5" s="7" customFormat="1" x14ac:dyDescent="0.2">
      <c r="A1" s="12" t="str">
        <f>CONCATENATE("Roltypen bij zaaktype ",Zaaktype!B2,": ",Zaaktype!B3)</f>
        <v>Roltypen bij zaaktype 9: Melding activiteit behandelen</v>
      </c>
      <c r="B1" s="12"/>
      <c r="C1" s="12"/>
      <c r="D1" s="12"/>
      <c r="E1" s="12"/>
    </row>
    <row r="2" spans="1:5" ht="17.25" customHeight="1" x14ac:dyDescent="0.2">
      <c r="A2" s="4" t="s">
        <v>59</v>
      </c>
      <c r="B2" s="4" t="s">
        <v>125</v>
      </c>
      <c r="C2" s="4" t="s">
        <v>126</v>
      </c>
      <c r="D2" s="4" t="s">
        <v>127</v>
      </c>
      <c r="E2" s="4" t="s">
        <v>68</v>
      </c>
    </row>
    <row r="3" spans="1:5" ht="38.25" x14ac:dyDescent="0.2">
      <c r="A3" s="5" t="s">
        <v>128</v>
      </c>
      <c r="B3" s="5" t="s">
        <v>129</v>
      </c>
      <c r="D3" s="5" t="s">
        <v>130</v>
      </c>
      <c r="E3" s="6">
        <v>43800</v>
      </c>
    </row>
    <row r="4" spans="1:5" x14ac:dyDescent="0.2">
      <c r="A4" s="5" t="s">
        <v>131</v>
      </c>
      <c r="B4" s="5" t="s">
        <v>131</v>
      </c>
      <c r="D4" s="10"/>
      <c r="E4" s="6">
        <v>43800</v>
      </c>
    </row>
    <row r="5" spans="1:5" x14ac:dyDescent="0.2">
      <c r="A5" s="5" t="s">
        <v>132</v>
      </c>
      <c r="B5" s="5" t="s">
        <v>133</v>
      </c>
      <c r="C5" s="5" t="s">
        <v>134</v>
      </c>
      <c r="E5" s="6">
        <v>43800</v>
      </c>
    </row>
    <row r="6" spans="1:5" ht="38.25" x14ac:dyDescent="0.2">
      <c r="A6" s="5" t="s">
        <v>135</v>
      </c>
      <c r="B6" s="5" t="s">
        <v>133</v>
      </c>
      <c r="C6" s="5" t="s">
        <v>136</v>
      </c>
      <c r="E6" s="6">
        <v>43800</v>
      </c>
    </row>
    <row r="7" spans="1:5" ht="38.25" x14ac:dyDescent="0.2">
      <c r="A7" s="5" t="s">
        <v>137</v>
      </c>
      <c r="B7" s="5" t="s">
        <v>138</v>
      </c>
      <c r="C7" s="5" t="s">
        <v>136</v>
      </c>
      <c r="E7" s="6">
        <v>43800</v>
      </c>
    </row>
    <row r="8" spans="1:5" x14ac:dyDescent="0.2">
      <c r="A8" s="5" t="s">
        <v>139</v>
      </c>
      <c r="B8" s="5" t="s">
        <v>129</v>
      </c>
      <c r="D8" s="5" t="s">
        <v>140</v>
      </c>
      <c r="E8" s="6">
        <v>43800</v>
      </c>
    </row>
  </sheetData>
  <pageMargins left="0" right="0" top="0.39370078740157483" bottom="0.39370078740157483" header="0" footer="0"/>
  <headerFooter>
    <oddHeader>&amp;C&amp;A</oddHeader>
    <oddFooter>&amp;CPagina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Blad4"/>
  <dimension ref="A1:AMJ45"/>
  <sheetViews>
    <sheetView workbookViewId="0">
      <pane xSplit="1" ySplit="2" topLeftCell="B3" activePane="bottomRight" state="frozen"/>
      <selection pane="topRight"/>
      <selection pane="bottomLeft"/>
      <selection pane="bottomRight"/>
    </sheetView>
  </sheetViews>
  <sheetFormatPr defaultColWidth="8.75" defaultRowHeight="12.75" x14ac:dyDescent="0.2"/>
  <cols>
    <col min="1" max="1" width="52.125" style="5" customWidth="1"/>
    <col min="2" max="2" width="18" style="5" customWidth="1"/>
    <col min="3" max="3" width="52.125" style="5" customWidth="1"/>
    <col min="4" max="4" width="11.875" style="5" customWidth="1"/>
    <col min="5" max="1024" width="52.125" style="5" customWidth="1"/>
    <col min="1025" max="16384" width="8.75" style="10"/>
  </cols>
  <sheetData>
    <row r="1" spans="1:4" s="7" customFormat="1" x14ac:dyDescent="0.2">
      <c r="A1" s="12" t="str">
        <f>CONCATENATE("Zaakobjecttypen bij zaaktype ",Zaaktype!B2,": ",Zaaktype!B3)</f>
        <v>Zaakobjecttypen bij zaaktype 9: Melding activiteit behandelen</v>
      </c>
      <c r="B1" s="12"/>
      <c r="C1" s="12"/>
      <c r="D1" s="12"/>
    </row>
    <row r="2" spans="1:4" ht="25.5" x14ac:dyDescent="0.2">
      <c r="A2" s="4" t="s">
        <v>141</v>
      </c>
      <c r="B2" s="4" t="s">
        <v>142</v>
      </c>
      <c r="C2" s="4" t="s">
        <v>143</v>
      </c>
      <c r="D2" s="4" t="s">
        <v>68</v>
      </c>
    </row>
    <row r="3" spans="1:4" ht="25.5" x14ac:dyDescent="0.2">
      <c r="A3" s="5" t="s">
        <v>144</v>
      </c>
      <c r="B3" s="5" t="s">
        <v>145</v>
      </c>
      <c r="C3" s="5" t="s">
        <v>146</v>
      </c>
      <c r="D3" s="6">
        <v>43800</v>
      </c>
    </row>
    <row r="4" spans="1:4" x14ac:dyDescent="0.2">
      <c r="A4" s="5" t="s">
        <v>147</v>
      </c>
      <c r="B4" s="5" t="s">
        <v>145</v>
      </c>
      <c r="C4" s="5" t="s">
        <v>148</v>
      </c>
      <c r="D4" s="6">
        <v>43800</v>
      </c>
    </row>
    <row r="5" spans="1:4" x14ac:dyDescent="0.2">
      <c r="A5" s="5" t="s">
        <v>149</v>
      </c>
      <c r="B5" s="5" t="s">
        <v>145</v>
      </c>
      <c r="C5" s="5" t="s">
        <v>150</v>
      </c>
      <c r="D5" s="6">
        <v>43800</v>
      </c>
    </row>
    <row r="6" spans="1:4" x14ac:dyDescent="0.2">
      <c r="A6" s="5" t="s">
        <v>151</v>
      </c>
      <c r="B6" s="5" t="s">
        <v>145</v>
      </c>
      <c r="C6" s="5" t="s">
        <v>152</v>
      </c>
      <c r="D6" s="6">
        <v>43800</v>
      </c>
    </row>
    <row r="7" spans="1:4" x14ac:dyDescent="0.2">
      <c r="A7" s="5" t="s">
        <v>153</v>
      </c>
      <c r="B7" s="5" t="s">
        <v>145</v>
      </c>
      <c r="C7" s="5" t="s">
        <v>154</v>
      </c>
      <c r="D7" s="6">
        <v>43800</v>
      </c>
    </row>
    <row r="8" spans="1:4" x14ac:dyDescent="0.2">
      <c r="A8" s="5" t="s">
        <v>155</v>
      </c>
      <c r="B8" s="5" t="s">
        <v>145</v>
      </c>
      <c r="C8" s="5" t="s">
        <v>156</v>
      </c>
      <c r="D8" s="6">
        <v>43800</v>
      </c>
    </row>
    <row r="9" spans="1:4" x14ac:dyDescent="0.2">
      <c r="A9" s="5" t="s">
        <v>157</v>
      </c>
      <c r="B9" s="5" t="s">
        <v>145</v>
      </c>
      <c r="C9" s="5" t="s">
        <v>158</v>
      </c>
      <c r="D9" s="6">
        <v>43800</v>
      </c>
    </row>
    <row r="10" spans="1:4" x14ac:dyDescent="0.2">
      <c r="A10" s="5" t="s">
        <v>159</v>
      </c>
      <c r="B10" s="5" t="s">
        <v>145</v>
      </c>
      <c r="C10" s="5" t="s">
        <v>160</v>
      </c>
      <c r="D10" s="6">
        <v>43800</v>
      </c>
    </row>
    <row r="11" spans="1:4" x14ac:dyDescent="0.2">
      <c r="A11" s="5" t="s">
        <v>161</v>
      </c>
      <c r="B11" s="5" t="s">
        <v>145</v>
      </c>
      <c r="C11" s="5" t="s">
        <v>162</v>
      </c>
      <c r="D11" s="6">
        <v>43800</v>
      </c>
    </row>
    <row r="12" spans="1:4" x14ac:dyDescent="0.2">
      <c r="A12" s="5" t="s">
        <v>163</v>
      </c>
      <c r="B12" s="5" t="s">
        <v>145</v>
      </c>
      <c r="C12" s="5" t="s">
        <v>164</v>
      </c>
      <c r="D12" s="6">
        <v>43800</v>
      </c>
    </row>
    <row r="13" spans="1:4" ht="25.5" x14ac:dyDescent="0.2">
      <c r="A13" s="5" t="s">
        <v>165</v>
      </c>
      <c r="B13" s="5" t="s">
        <v>145</v>
      </c>
      <c r="C13" s="5" t="s">
        <v>166</v>
      </c>
      <c r="D13" s="6">
        <v>43800</v>
      </c>
    </row>
    <row r="14" spans="1:4" x14ac:dyDescent="0.2">
      <c r="A14" s="5" t="s">
        <v>167</v>
      </c>
      <c r="B14" s="5" t="s">
        <v>145</v>
      </c>
      <c r="C14" s="5" t="s">
        <v>168</v>
      </c>
      <c r="D14" s="6">
        <v>43800</v>
      </c>
    </row>
    <row r="15" spans="1:4" x14ac:dyDescent="0.2">
      <c r="A15" s="5" t="s">
        <v>169</v>
      </c>
      <c r="B15" s="5" t="s">
        <v>145</v>
      </c>
      <c r="C15" s="5" t="s">
        <v>170</v>
      </c>
      <c r="D15" s="6">
        <v>43800</v>
      </c>
    </row>
    <row r="16" spans="1:4" x14ac:dyDescent="0.2">
      <c r="A16" s="5" t="s">
        <v>171</v>
      </c>
      <c r="B16" s="5" t="s">
        <v>145</v>
      </c>
      <c r="C16" s="5" t="s">
        <v>172</v>
      </c>
      <c r="D16" s="6">
        <v>43800</v>
      </c>
    </row>
    <row r="17" spans="1:4" x14ac:dyDescent="0.2">
      <c r="A17" s="5" t="s">
        <v>173</v>
      </c>
      <c r="B17" s="5" t="s">
        <v>145</v>
      </c>
      <c r="C17" s="5" t="s">
        <v>174</v>
      </c>
      <c r="D17" s="6">
        <v>43800</v>
      </c>
    </row>
    <row r="18" spans="1:4" x14ac:dyDescent="0.2">
      <c r="A18" s="5" t="s">
        <v>175</v>
      </c>
      <c r="B18" s="5" t="s">
        <v>145</v>
      </c>
      <c r="C18" s="5" t="s">
        <v>176</v>
      </c>
      <c r="D18" s="6">
        <v>43800</v>
      </c>
    </row>
    <row r="19" spans="1:4" ht="25.5" x14ac:dyDescent="0.2">
      <c r="A19" s="5" t="s">
        <v>177</v>
      </c>
      <c r="B19" s="5" t="s">
        <v>145</v>
      </c>
      <c r="C19" s="5" t="s">
        <v>178</v>
      </c>
      <c r="D19" s="6">
        <v>43800</v>
      </c>
    </row>
    <row r="20" spans="1:4" x14ac:dyDescent="0.2">
      <c r="A20" s="5" t="s">
        <v>179</v>
      </c>
      <c r="B20" s="5" t="s">
        <v>145</v>
      </c>
      <c r="C20" s="5" t="s">
        <v>180</v>
      </c>
      <c r="D20" s="6">
        <v>43800</v>
      </c>
    </row>
    <row r="21" spans="1:4" x14ac:dyDescent="0.2">
      <c r="A21" s="5" t="s">
        <v>181</v>
      </c>
      <c r="B21" s="5" t="s">
        <v>145</v>
      </c>
      <c r="C21" s="5" t="s">
        <v>182</v>
      </c>
      <c r="D21" s="6">
        <v>43800</v>
      </c>
    </row>
    <row r="22" spans="1:4" x14ac:dyDescent="0.2">
      <c r="A22" s="5" t="s">
        <v>183</v>
      </c>
      <c r="B22" s="5" t="s">
        <v>145</v>
      </c>
      <c r="C22" s="5" t="s">
        <v>184</v>
      </c>
      <c r="D22" s="6">
        <v>43800</v>
      </c>
    </row>
    <row r="23" spans="1:4" x14ac:dyDescent="0.2">
      <c r="A23" s="5" t="s">
        <v>185</v>
      </c>
      <c r="B23" s="5" t="s">
        <v>145</v>
      </c>
      <c r="C23" s="5" t="s">
        <v>186</v>
      </c>
      <c r="D23" s="6">
        <v>43800</v>
      </c>
    </row>
    <row r="24" spans="1:4" x14ac:dyDescent="0.2">
      <c r="A24" s="5" t="s">
        <v>187</v>
      </c>
      <c r="B24" s="5" t="s">
        <v>145</v>
      </c>
      <c r="C24" s="5" t="s">
        <v>188</v>
      </c>
      <c r="D24" s="6">
        <v>43800</v>
      </c>
    </row>
    <row r="25" spans="1:4" x14ac:dyDescent="0.2">
      <c r="A25" s="5" t="s">
        <v>189</v>
      </c>
      <c r="B25" s="5" t="s">
        <v>145</v>
      </c>
      <c r="C25" s="5" t="s">
        <v>190</v>
      </c>
      <c r="D25" s="6">
        <v>43800</v>
      </c>
    </row>
    <row r="26" spans="1:4" ht="25.5" x14ac:dyDescent="0.2">
      <c r="A26" s="5" t="s">
        <v>191</v>
      </c>
      <c r="B26" s="5" t="s">
        <v>145</v>
      </c>
      <c r="C26" s="5" t="s">
        <v>192</v>
      </c>
      <c r="D26" s="6">
        <v>43800</v>
      </c>
    </row>
    <row r="27" spans="1:4" x14ac:dyDescent="0.2">
      <c r="A27" s="5" t="s">
        <v>193</v>
      </c>
      <c r="B27" s="5" t="s">
        <v>145</v>
      </c>
      <c r="C27" s="5" t="s">
        <v>194</v>
      </c>
      <c r="D27" s="6">
        <v>43800</v>
      </c>
    </row>
    <row r="28" spans="1:4" x14ac:dyDescent="0.2">
      <c r="A28" s="5" t="s">
        <v>195</v>
      </c>
      <c r="B28" s="5" t="s">
        <v>145</v>
      </c>
      <c r="C28" s="5" t="s">
        <v>196</v>
      </c>
      <c r="D28" s="6">
        <v>43800</v>
      </c>
    </row>
    <row r="29" spans="1:4" x14ac:dyDescent="0.2">
      <c r="A29" s="5" t="s">
        <v>197</v>
      </c>
      <c r="B29" s="5" t="s">
        <v>145</v>
      </c>
      <c r="C29" s="5" t="s">
        <v>198</v>
      </c>
      <c r="D29" s="6">
        <v>43800</v>
      </c>
    </row>
    <row r="30" spans="1:4" x14ac:dyDescent="0.2">
      <c r="A30" s="5" t="s">
        <v>199</v>
      </c>
      <c r="B30" s="5" t="s">
        <v>145</v>
      </c>
      <c r="C30" s="5" t="s">
        <v>200</v>
      </c>
      <c r="D30" s="6">
        <v>43800</v>
      </c>
    </row>
    <row r="31" spans="1:4" x14ac:dyDescent="0.2">
      <c r="A31" s="5" t="s">
        <v>201</v>
      </c>
      <c r="B31" s="5" t="s">
        <v>145</v>
      </c>
      <c r="C31" s="5" t="s">
        <v>202</v>
      </c>
      <c r="D31" s="6">
        <v>43800</v>
      </c>
    </row>
    <row r="32" spans="1:4" x14ac:dyDescent="0.2">
      <c r="A32" s="5" t="s">
        <v>203</v>
      </c>
      <c r="B32" s="5" t="s">
        <v>145</v>
      </c>
      <c r="C32" s="5" t="s">
        <v>204</v>
      </c>
      <c r="D32" s="6">
        <v>43800</v>
      </c>
    </row>
    <row r="33" spans="1:4" x14ac:dyDescent="0.2">
      <c r="A33" s="5" t="s">
        <v>205</v>
      </c>
      <c r="B33" s="5" t="s">
        <v>145</v>
      </c>
      <c r="C33" s="5" t="s">
        <v>206</v>
      </c>
      <c r="D33" s="6">
        <v>43800</v>
      </c>
    </row>
    <row r="34" spans="1:4" x14ac:dyDescent="0.2">
      <c r="A34" s="5" t="s">
        <v>207</v>
      </c>
      <c r="B34" s="5" t="s">
        <v>145</v>
      </c>
      <c r="C34" s="5" t="s">
        <v>208</v>
      </c>
      <c r="D34" s="6">
        <v>43800</v>
      </c>
    </row>
    <row r="35" spans="1:4" x14ac:dyDescent="0.2">
      <c r="A35" s="5" t="s">
        <v>209</v>
      </c>
      <c r="B35" s="5" t="s">
        <v>145</v>
      </c>
      <c r="C35" s="5" t="s">
        <v>210</v>
      </c>
      <c r="D35" s="6">
        <v>43800</v>
      </c>
    </row>
    <row r="36" spans="1:4" x14ac:dyDescent="0.2">
      <c r="A36" s="5" t="s">
        <v>211</v>
      </c>
      <c r="B36" s="5" t="s">
        <v>145</v>
      </c>
      <c r="C36" s="5" t="s">
        <v>212</v>
      </c>
      <c r="D36" s="6">
        <v>43800</v>
      </c>
    </row>
    <row r="37" spans="1:4" ht="51" x14ac:dyDescent="0.2">
      <c r="A37" s="5" t="s">
        <v>213</v>
      </c>
      <c r="B37" s="5" t="s">
        <v>214</v>
      </c>
      <c r="C37" s="5" t="s">
        <v>215</v>
      </c>
      <c r="D37" s="6">
        <v>43800</v>
      </c>
    </row>
    <row r="38" spans="1:4" x14ac:dyDescent="0.2">
      <c r="A38" s="5" t="s">
        <v>216</v>
      </c>
      <c r="B38" s="5" t="s">
        <v>145</v>
      </c>
      <c r="C38" s="5" t="s">
        <v>217</v>
      </c>
      <c r="D38" s="6">
        <v>43800</v>
      </c>
    </row>
    <row r="39" spans="1:4" x14ac:dyDescent="0.2">
      <c r="A39" s="5" t="s">
        <v>218</v>
      </c>
      <c r="B39" s="5" t="s">
        <v>145</v>
      </c>
      <c r="C39" s="5" t="s">
        <v>219</v>
      </c>
      <c r="D39" s="6">
        <v>43800</v>
      </c>
    </row>
    <row r="40" spans="1:4" x14ac:dyDescent="0.2">
      <c r="A40" s="5" t="s">
        <v>220</v>
      </c>
      <c r="B40" s="5" t="s">
        <v>145</v>
      </c>
      <c r="C40" s="5" t="s">
        <v>221</v>
      </c>
      <c r="D40" s="6">
        <v>43800</v>
      </c>
    </row>
    <row r="41" spans="1:4" x14ac:dyDescent="0.2">
      <c r="A41" s="5" t="s">
        <v>222</v>
      </c>
      <c r="B41" s="5" t="s">
        <v>145</v>
      </c>
      <c r="C41" s="5" t="s">
        <v>223</v>
      </c>
      <c r="D41" s="6">
        <v>43800</v>
      </c>
    </row>
    <row r="42" spans="1:4" x14ac:dyDescent="0.2">
      <c r="A42" s="5" t="s">
        <v>224</v>
      </c>
      <c r="B42" s="5" t="s">
        <v>145</v>
      </c>
      <c r="C42" s="5" t="s">
        <v>225</v>
      </c>
      <c r="D42" s="6">
        <v>43800</v>
      </c>
    </row>
    <row r="43" spans="1:4" x14ac:dyDescent="0.2">
      <c r="A43" s="5" t="s">
        <v>226</v>
      </c>
      <c r="B43" s="5" t="s">
        <v>145</v>
      </c>
      <c r="C43" s="5" t="s">
        <v>227</v>
      </c>
      <c r="D43" s="6">
        <v>43800</v>
      </c>
    </row>
    <row r="44" spans="1:4" x14ac:dyDescent="0.2">
      <c r="A44" s="5" t="s">
        <v>228</v>
      </c>
      <c r="B44" s="5" t="s">
        <v>145</v>
      </c>
      <c r="C44" s="5" t="s">
        <v>229</v>
      </c>
      <c r="D44" s="6">
        <v>43800</v>
      </c>
    </row>
    <row r="45" spans="1:4" x14ac:dyDescent="0.2">
      <c r="A45" s="5" t="s">
        <v>230</v>
      </c>
      <c r="B45" s="5" t="s">
        <v>145</v>
      </c>
      <c r="C45" s="5" t="s">
        <v>231</v>
      </c>
      <c r="D45" s="6">
        <v>43800</v>
      </c>
    </row>
  </sheetData>
  <pageMargins left="0" right="0" top="0.39370078740157483" bottom="0.39370078740157483" header="0" footer="0"/>
  <headerFooter>
    <oddHeader>&amp;C&amp;A</oddHeader>
    <oddFooter>&amp;CPagina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Blad5"/>
  <dimension ref="A1:AMM7"/>
  <sheetViews>
    <sheetView workbookViewId="0">
      <pane xSplit="1" ySplit="2" topLeftCell="B3" activePane="bottomRight" state="frozen"/>
      <selection pane="topRight"/>
      <selection pane="bottomLeft"/>
      <selection pane="bottomRight"/>
    </sheetView>
  </sheetViews>
  <sheetFormatPr defaultColWidth="8.75" defaultRowHeight="12.75" x14ac:dyDescent="0.2"/>
  <cols>
    <col min="1" max="1" width="20.375" style="5" customWidth="1"/>
    <col min="2" max="2" width="42.125" style="5" customWidth="1"/>
    <col min="3" max="3" width="13.25" style="5" customWidth="1"/>
    <col min="4" max="4" width="14.75" style="5" customWidth="1"/>
    <col min="5" max="5" width="7.75" style="5" customWidth="1"/>
    <col min="6" max="6" width="11.125" style="5" customWidth="1"/>
    <col min="7" max="7" width="19.625" style="5" customWidth="1"/>
    <col min="8" max="8" width="42.125" style="5" customWidth="1"/>
    <col min="9" max="9" width="25.5" style="5" customWidth="1"/>
    <col min="10" max="1027" width="42.125" style="5" customWidth="1"/>
    <col min="1028" max="16384" width="8.75" style="10"/>
  </cols>
  <sheetData>
    <row r="1" spans="1:9" s="7" customFormat="1" x14ac:dyDescent="0.2">
      <c r="A1" s="12" t="str">
        <f>CONCATENATE("Eigenschappen bij zaaktype ",Zaaktype!B2,": ",Zaaktype!B3)</f>
        <v>Eigenschappen bij zaaktype 9: Melding activiteit behandelen</v>
      </c>
      <c r="B1" s="12"/>
      <c r="C1" s="12"/>
      <c r="D1" s="12"/>
      <c r="E1" s="12"/>
      <c r="F1" s="12"/>
      <c r="G1" s="12"/>
      <c r="H1" s="12"/>
      <c r="I1" s="12"/>
    </row>
    <row r="2" spans="1:9" s="20" customFormat="1" ht="19.5" customHeight="1" x14ac:dyDescent="0.2">
      <c r="A2" s="19" t="s">
        <v>232</v>
      </c>
      <c r="B2" s="19" t="s">
        <v>233</v>
      </c>
      <c r="C2" s="19" t="s">
        <v>234</v>
      </c>
      <c r="D2" s="19" t="s">
        <v>235</v>
      </c>
      <c r="E2" s="19" t="s">
        <v>236</v>
      </c>
      <c r="F2" s="19" t="s">
        <v>237</v>
      </c>
      <c r="G2" s="19" t="s">
        <v>238</v>
      </c>
      <c r="H2" s="19" t="s">
        <v>64</v>
      </c>
      <c r="I2" s="19" t="s">
        <v>68</v>
      </c>
    </row>
    <row r="3" spans="1:9" ht="25.5" x14ac:dyDescent="0.2">
      <c r="A3" s="5" t="s">
        <v>239</v>
      </c>
      <c r="B3" s="5" t="s">
        <v>240</v>
      </c>
      <c r="D3" s="5" t="s">
        <v>241</v>
      </c>
      <c r="H3" s="5" t="s">
        <v>242</v>
      </c>
      <c r="I3" s="6">
        <v>43800</v>
      </c>
    </row>
    <row r="4" spans="1:9" ht="25.5" x14ac:dyDescent="0.2">
      <c r="A4" s="5" t="s">
        <v>243</v>
      </c>
      <c r="B4" s="5" t="s">
        <v>244</v>
      </c>
      <c r="D4" s="5" t="s">
        <v>241</v>
      </c>
      <c r="I4" s="6">
        <v>43800</v>
      </c>
    </row>
    <row r="5" spans="1:9" ht="25.5" x14ac:dyDescent="0.2">
      <c r="A5" s="5" t="s">
        <v>245</v>
      </c>
      <c r="B5" s="5" t="s">
        <v>246</v>
      </c>
      <c r="D5" s="5" t="s">
        <v>247</v>
      </c>
      <c r="I5" s="6">
        <v>43800</v>
      </c>
    </row>
    <row r="6" spans="1:9" ht="153" x14ac:dyDescent="0.2">
      <c r="A6" s="5" t="s">
        <v>248</v>
      </c>
      <c r="B6" s="5" t="s">
        <v>249</v>
      </c>
      <c r="D6" s="5" t="s">
        <v>247</v>
      </c>
      <c r="H6" s="5" t="s">
        <v>250</v>
      </c>
      <c r="I6" s="6">
        <v>43800</v>
      </c>
    </row>
    <row r="7" spans="1:9" x14ac:dyDescent="0.2">
      <c r="A7" s="5" t="s">
        <v>251</v>
      </c>
      <c r="B7" s="5" t="s">
        <v>252</v>
      </c>
      <c r="D7" s="5" t="s">
        <v>247</v>
      </c>
      <c r="I7" s="6">
        <v>43800</v>
      </c>
    </row>
  </sheetData>
  <pageMargins left="0" right="0" top="0.39370078740157483" bottom="0.39370078740157483" header="0" footer="0"/>
  <headerFooter>
    <oddHeader>&amp;C&amp;A</oddHeader>
    <oddFooter>&amp;CPagina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Blad6"/>
  <dimension ref="A1:AMG18"/>
  <sheetViews>
    <sheetView workbookViewId="0">
      <pane xSplit="1" ySplit="2" topLeftCell="B3" activePane="bottomRight" state="frozen"/>
      <selection pane="topRight"/>
      <selection pane="bottomLeft"/>
      <selection pane="bottomRight" activeCell="A19" sqref="A19"/>
    </sheetView>
  </sheetViews>
  <sheetFormatPr defaultColWidth="8.75" defaultRowHeight="12.75" x14ac:dyDescent="0.2"/>
  <cols>
    <col min="1" max="1" width="12.75" style="35" customWidth="1"/>
    <col min="2" max="2" width="10.75" style="35" customWidth="1"/>
    <col min="3" max="1021" width="39.875" style="35" customWidth="1"/>
    <col min="1022" max="16384" width="8.75" style="36"/>
  </cols>
  <sheetData>
    <row r="1" spans="1:3" s="33" customFormat="1" x14ac:dyDescent="0.2">
      <c r="A1" s="32" t="str">
        <f>CONCATENATE("Informatieobjecttypen bij zaaktype ",Zaaktype!B2,": ",Zaaktype!B3)</f>
        <v>Informatieobjecttypen bij zaaktype 9: Melding activiteit behandelen</v>
      </c>
      <c r="B1" s="32"/>
      <c r="C1" s="32"/>
    </row>
    <row r="2" spans="1:3" x14ac:dyDescent="0.2">
      <c r="A2" s="34" t="s">
        <v>253</v>
      </c>
      <c r="B2" s="34" t="s">
        <v>254</v>
      </c>
      <c r="C2" s="34" t="s">
        <v>255</v>
      </c>
    </row>
    <row r="3" spans="1:3" x14ac:dyDescent="0.2">
      <c r="A3" s="35">
        <v>1</v>
      </c>
      <c r="B3" s="35" t="s">
        <v>256</v>
      </c>
      <c r="C3" s="37" t="s">
        <v>18</v>
      </c>
    </row>
    <row r="4" spans="1:3" x14ac:dyDescent="0.2">
      <c r="A4" s="35">
        <v>2</v>
      </c>
      <c r="B4" s="35" t="s">
        <v>257</v>
      </c>
      <c r="C4" s="37" t="s">
        <v>258</v>
      </c>
    </row>
    <row r="5" spans="1:3" x14ac:dyDescent="0.2">
      <c r="A5" s="35">
        <v>3</v>
      </c>
      <c r="B5" s="35" t="s">
        <v>257</v>
      </c>
      <c r="C5" s="37" t="s">
        <v>259</v>
      </c>
    </row>
    <row r="6" spans="1:3" x14ac:dyDescent="0.2">
      <c r="A6" s="35">
        <v>4</v>
      </c>
      <c r="B6" s="35" t="s">
        <v>257</v>
      </c>
      <c r="C6" s="37" t="s">
        <v>260</v>
      </c>
    </row>
    <row r="7" spans="1:3" x14ac:dyDescent="0.2">
      <c r="A7" s="35">
        <v>5</v>
      </c>
      <c r="B7" s="35" t="s">
        <v>261</v>
      </c>
      <c r="C7" s="37" t="s">
        <v>262</v>
      </c>
    </row>
    <row r="8" spans="1:3" x14ac:dyDescent="0.2">
      <c r="A8" s="35">
        <v>5</v>
      </c>
      <c r="B8" s="35" t="s">
        <v>257</v>
      </c>
      <c r="C8" s="37" t="s">
        <v>262</v>
      </c>
    </row>
    <row r="9" spans="1:3" x14ac:dyDescent="0.2">
      <c r="A9" s="35">
        <v>6</v>
      </c>
      <c r="B9" s="35" t="s">
        <v>256</v>
      </c>
      <c r="C9" s="37" t="s">
        <v>263</v>
      </c>
    </row>
    <row r="10" spans="1:3" x14ac:dyDescent="0.2">
      <c r="A10" s="35">
        <v>6</v>
      </c>
      <c r="B10" s="35" t="s">
        <v>261</v>
      </c>
      <c r="C10" s="37" t="s">
        <v>263</v>
      </c>
    </row>
    <row r="11" spans="1:3" x14ac:dyDescent="0.2">
      <c r="A11" s="35">
        <v>7</v>
      </c>
      <c r="B11" s="35" t="s">
        <v>257</v>
      </c>
      <c r="C11" s="37" t="s">
        <v>264</v>
      </c>
    </row>
    <row r="12" spans="1:3" x14ac:dyDescent="0.2">
      <c r="A12" s="35">
        <v>9</v>
      </c>
      <c r="B12" s="35" t="s">
        <v>256</v>
      </c>
      <c r="C12" s="37" t="s">
        <v>265</v>
      </c>
    </row>
    <row r="13" spans="1:3" x14ac:dyDescent="0.2">
      <c r="A13" s="35">
        <v>10</v>
      </c>
      <c r="B13" s="35" t="s">
        <v>257</v>
      </c>
      <c r="C13" s="37" t="s">
        <v>266</v>
      </c>
    </row>
    <row r="14" spans="1:3" x14ac:dyDescent="0.2">
      <c r="A14" s="35">
        <v>11</v>
      </c>
      <c r="B14" s="35" t="s">
        <v>257</v>
      </c>
      <c r="C14" s="37" t="s">
        <v>267</v>
      </c>
    </row>
    <row r="15" spans="1:3" x14ac:dyDescent="0.2">
      <c r="A15" s="35">
        <v>98</v>
      </c>
      <c r="B15" s="35" t="s">
        <v>256</v>
      </c>
      <c r="C15" s="37" t="s">
        <v>268</v>
      </c>
    </row>
    <row r="16" spans="1:3" x14ac:dyDescent="0.2">
      <c r="A16" s="35">
        <v>99</v>
      </c>
      <c r="B16" s="35" t="s">
        <v>257</v>
      </c>
      <c r="C16" s="37" t="s">
        <v>269</v>
      </c>
    </row>
    <row r="17" spans="1:3" x14ac:dyDescent="0.2">
      <c r="A17" s="35">
        <v>12</v>
      </c>
      <c r="B17" s="35" t="s">
        <v>261</v>
      </c>
      <c r="C17" s="37" t="s">
        <v>270</v>
      </c>
    </row>
    <row r="18" spans="1:3" x14ac:dyDescent="0.2">
      <c r="A18" s="35">
        <v>13</v>
      </c>
      <c r="B18" s="35" t="s">
        <v>257</v>
      </c>
      <c r="C18" s="35" t="s">
        <v>271</v>
      </c>
    </row>
  </sheetData>
  <pageMargins left="0" right="0" top="0.39370078740157483" bottom="0.39370078740157483" header="0" footer="0"/>
  <headerFooter>
    <oddHeader>&amp;C&amp;A</oddHeader>
    <oddFooter>&amp;CPagina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Blad7"/>
  <dimension ref="A1:B3"/>
  <sheetViews>
    <sheetView workbookViewId="0">
      <pane xSplit="1" ySplit="2" topLeftCell="B3" activePane="bottomRight" state="frozen"/>
      <selection pane="topRight"/>
      <selection pane="bottomLeft"/>
      <selection pane="bottomRight"/>
    </sheetView>
  </sheetViews>
  <sheetFormatPr defaultColWidth="8.75" defaultRowHeight="12.75" x14ac:dyDescent="0.2"/>
  <cols>
    <col min="1" max="1" width="18.25" style="11" customWidth="1"/>
    <col min="2" max="2" width="12" style="11" customWidth="1"/>
    <col min="3" max="16384" width="8.75" style="11"/>
  </cols>
  <sheetData>
    <row r="1" spans="1:2" s="17" customFormat="1" x14ac:dyDescent="0.2">
      <c r="A1" s="8" t="str">
        <f>CONCATENATE("Besluittypen bij zaaktype ",Zaaktype!B2,": ",Zaaktype!B3)</f>
        <v>Besluittypen bij zaaktype 9: Melding activiteit behandelen</v>
      </c>
      <c r="B1" s="8"/>
    </row>
    <row r="2" spans="1:2" ht="25.5" x14ac:dyDescent="0.2">
      <c r="A2" s="2" t="s">
        <v>272</v>
      </c>
      <c r="B2" s="2" t="s">
        <v>68</v>
      </c>
    </row>
    <row r="3" spans="1:2" x14ac:dyDescent="0.2">
      <c r="A3" s="11" t="s">
        <v>271</v>
      </c>
      <c r="B3" s="18">
        <v>43466</v>
      </c>
    </row>
  </sheetData>
  <pageMargins left="0" right="0" top="0.39370078740157483" bottom="0.39370078740157483" header="0" footer="0"/>
  <headerFooter>
    <oddHeader>&amp;C&amp;A</oddHeader>
    <oddFooter>&amp;CPagina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Blad8"/>
  <dimension ref="A1:U44"/>
  <sheetViews>
    <sheetView zoomScale="85" zoomScaleNormal="85" workbookViewId="0">
      <pane xSplit="2" ySplit="2" topLeftCell="C3" activePane="bottomRight" state="frozen"/>
      <selection pane="topRight"/>
      <selection pane="bottomLeft"/>
      <selection pane="bottomRight" activeCell="D46" sqref="D46"/>
    </sheetView>
  </sheetViews>
  <sheetFormatPr defaultColWidth="9" defaultRowHeight="12.75" x14ac:dyDescent="0.2"/>
  <cols>
    <col min="1" max="1" width="20" style="42" customWidth="1"/>
    <col min="2" max="2" width="16.25" style="42" customWidth="1"/>
    <col min="3" max="3" width="14.375" style="42" customWidth="1"/>
    <col min="4" max="4" width="19.875" style="42" customWidth="1"/>
    <col min="5" max="5" width="18.125" style="42" customWidth="1"/>
    <col min="6" max="6" width="10.75" style="42" customWidth="1"/>
    <col min="7" max="7" width="14.625" style="43" customWidth="1"/>
    <col min="8" max="8" width="17.25" style="42" bestFit="1" customWidth="1"/>
    <col min="9" max="9" width="15.5" style="42" customWidth="1"/>
    <col min="10" max="10" width="14.5" style="43" customWidth="1"/>
    <col min="11" max="11" width="19.25" style="42" customWidth="1"/>
    <col min="12" max="12" width="18.625" style="42" customWidth="1"/>
    <col min="13" max="16" width="20.625" style="42" customWidth="1"/>
    <col min="17" max="17" width="57.125" style="42" customWidth="1"/>
    <col min="18" max="20" width="26.625" style="42" customWidth="1"/>
    <col min="21" max="21" width="17" style="42" bestFit="1" customWidth="1"/>
    <col min="22" max="16384" width="9" style="42"/>
  </cols>
  <sheetData>
    <row r="1" spans="1:21" s="38" customFormat="1" x14ac:dyDescent="0.2">
      <c r="A1" s="38" t="str">
        <f>CONCATENATE("Resultaattypen bij zaaktype ",Zaaktype!B2,": ",Zaaktype!B3)</f>
        <v>Resultaattypen bij zaaktype 9: Melding activiteit behandelen</v>
      </c>
      <c r="G1" s="39"/>
      <c r="J1" s="39"/>
    </row>
    <row r="2" spans="1:21" s="41" customFormat="1" ht="38.25" x14ac:dyDescent="0.2">
      <c r="A2" s="40" t="s">
        <v>273</v>
      </c>
      <c r="B2" s="40" t="s">
        <v>274</v>
      </c>
      <c r="C2" s="40" t="s">
        <v>275</v>
      </c>
      <c r="D2" s="40" t="s">
        <v>276</v>
      </c>
      <c r="E2" s="40" t="s">
        <v>277</v>
      </c>
      <c r="F2" s="40" t="s">
        <v>278</v>
      </c>
      <c r="G2" s="40" t="s">
        <v>279</v>
      </c>
      <c r="H2" s="40" t="s">
        <v>280</v>
      </c>
      <c r="I2" s="40" t="s">
        <v>281</v>
      </c>
      <c r="J2" s="40" t="s">
        <v>282</v>
      </c>
      <c r="K2" s="40" t="s">
        <v>283</v>
      </c>
      <c r="L2" s="40" t="s">
        <v>284</v>
      </c>
      <c r="M2" s="40" t="s">
        <v>285</v>
      </c>
      <c r="N2" s="40" t="s">
        <v>286</v>
      </c>
      <c r="O2" s="40" t="s">
        <v>287</v>
      </c>
      <c r="P2" s="40" t="s">
        <v>288</v>
      </c>
      <c r="Q2" s="41" t="s">
        <v>11</v>
      </c>
      <c r="R2" s="40" t="s">
        <v>289</v>
      </c>
      <c r="S2" s="40" t="s">
        <v>290</v>
      </c>
      <c r="T2" s="40" t="s">
        <v>291</v>
      </c>
      <c r="U2" s="40" t="s">
        <v>292</v>
      </c>
    </row>
    <row r="3" spans="1:21" s="41" customFormat="1" ht="24" x14ac:dyDescent="0.2">
      <c r="A3" s="42" t="s">
        <v>293</v>
      </c>
      <c r="B3" s="42" t="s">
        <v>294</v>
      </c>
      <c r="C3" s="42" t="s">
        <v>293</v>
      </c>
      <c r="D3" s="42" t="s">
        <v>293</v>
      </c>
      <c r="E3" s="42"/>
      <c r="F3" s="42" t="s">
        <v>145</v>
      </c>
      <c r="G3" s="43" t="s">
        <v>295</v>
      </c>
      <c r="H3" s="42" t="s">
        <v>296</v>
      </c>
      <c r="I3" s="42"/>
      <c r="J3" s="43">
        <v>12</v>
      </c>
      <c r="K3" s="42" t="s">
        <v>297</v>
      </c>
      <c r="L3" s="40"/>
      <c r="M3" s="40"/>
      <c r="N3" s="40"/>
      <c r="O3" s="40"/>
      <c r="P3" s="40"/>
      <c r="Q3" s="44" t="s">
        <v>298</v>
      </c>
      <c r="R3" s="40"/>
      <c r="S3" s="40"/>
      <c r="T3" s="45"/>
      <c r="U3" s="40"/>
    </row>
    <row r="4" spans="1:21" s="41" customFormat="1" ht="25.5" x14ac:dyDescent="0.2">
      <c r="A4" s="42" t="s">
        <v>299</v>
      </c>
      <c r="B4" s="43" t="s">
        <v>294</v>
      </c>
      <c r="C4" s="42" t="s">
        <v>300</v>
      </c>
      <c r="D4" s="42" t="s">
        <v>299</v>
      </c>
      <c r="E4" s="40"/>
      <c r="F4" s="42" t="s">
        <v>145</v>
      </c>
      <c r="G4" s="43" t="s">
        <v>301</v>
      </c>
      <c r="H4" s="42" t="s">
        <v>296</v>
      </c>
      <c r="I4" s="40"/>
      <c r="J4" s="43">
        <v>12</v>
      </c>
      <c r="K4" s="42" t="s">
        <v>302</v>
      </c>
      <c r="L4" s="40"/>
      <c r="M4" s="40"/>
      <c r="N4" s="40"/>
      <c r="O4" s="40"/>
      <c r="P4" s="40"/>
      <c r="Q4" s="42" t="s">
        <v>303</v>
      </c>
      <c r="R4" s="40"/>
      <c r="S4" s="40"/>
      <c r="T4" s="40"/>
      <c r="U4" s="40"/>
    </row>
    <row r="5" spans="1:21" s="41" customFormat="1" ht="25.5" x14ac:dyDescent="0.2">
      <c r="A5" s="42" t="s">
        <v>304</v>
      </c>
      <c r="B5" s="42" t="s">
        <v>294</v>
      </c>
      <c r="C5" s="42" t="s">
        <v>300</v>
      </c>
      <c r="D5" s="42" t="s">
        <v>299</v>
      </c>
      <c r="E5" s="42" t="s">
        <v>305</v>
      </c>
      <c r="F5" s="42" t="s">
        <v>214</v>
      </c>
      <c r="G5" s="43" t="s">
        <v>306</v>
      </c>
      <c r="H5" s="42" t="s">
        <v>296</v>
      </c>
      <c r="I5" s="42"/>
      <c r="J5" s="43">
        <v>12</v>
      </c>
      <c r="K5" s="42" t="s">
        <v>297</v>
      </c>
      <c r="L5" s="42"/>
      <c r="M5" s="42"/>
      <c r="N5" s="42"/>
      <c r="O5" s="42"/>
      <c r="P5" s="42"/>
      <c r="Q5" s="42" t="s">
        <v>307</v>
      </c>
      <c r="R5" s="42"/>
      <c r="S5" s="42"/>
      <c r="T5" s="42" t="s">
        <v>267</v>
      </c>
      <c r="U5" s="42"/>
    </row>
    <row r="6" spans="1:21" s="41" customFormat="1" ht="25.5" x14ac:dyDescent="0.2">
      <c r="A6" s="42" t="s">
        <v>308</v>
      </c>
      <c r="B6" s="42" t="s">
        <v>294</v>
      </c>
      <c r="C6" s="42" t="s">
        <v>300</v>
      </c>
      <c r="D6" s="42" t="s">
        <v>299</v>
      </c>
      <c r="E6" s="42" t="s">
        <v>309</v>
      </c>
      <c r="F6" s="42" t="s">
        <v>214</v>
      </c>
      <c r="G6" s="43" t="s">
        <v>310</v>
      </c>
      <c r="H6" s="42" t="s">
        <v>296</v>
      </c>
      <c r="I6" s="42"/>
      <c r="J6" s="43">
        <v>12</v>
      </c>
      <c r="K6" s="42" t="s">
        <v>311</v>
      </c>
      <c r="L6" s="42" t="s">
        <v>311</v>
      </c>
      <c r="M6" s="42" t="s">
        <v>243</v>
      </c>
      <c r="N6" s="42"/>
      <c r="O6" s="42"/>
      <c r="P6" s="42"/>
      <c r="Q6" s="42" t="s">
        <v>312</v>
      </c>
      <c r="R6" s="42"/>
      <c r="S6" s="42"/>
      <c r="T6" s="42" t="s">
        <v>267</v>
      </c>
      <c r="U6" s="42"/>
    </row>
    <row r="7" spans="1:21" s="41" customFormat="1" ht="38.25" x14ac:dyDescent="0.2">
      <c r="A7" s="42" t="s">
        <v>313</v>
      </c>
      <c r="B7" s="42" t="s">
        <v>294</v>
      </c>
      <c r="C7" s="42" t="s">
        <v>300</v>
      </c>
      <c r="D7" s="42" t="s">
        <v>299</v>
      </c>
      <c r="E7" s="42" t="s">
        <v>314</v>
      </c>
      <c r="F7" s="42" t="s">
        <v>214</v>
      </c>
      <c r="G7" s="43" t="s">
        <v>315</v>
      </c>
      <c r="H7" s="42" t="s">
        <v>316</v>
      </c>
      <c r="I7" s="42"/>
      <c r="J7" s="43"/>
      <c r="K7" s="42" t="s">
        <v>297</v>
      </c>
      <c r="L7" s="42"/>
      <c r="M7" s="42"/>
      <c r="N7" s="42"/>
      <c r="O7" s="42"/>
      <c r="P7" s="42"/>
      <c r="Q7" s="42" t="s">
        <v>317</v>
      </c>
      <c r="R7" s="42"/>
      <c r="S7" s="42"/>
      <c r="T7" s="42" t="s">
        <v>267</v>
      </c>
      <c r="U7" s="42"/>
    </row>
    <row r="8" spans="1:21" s="41" customFormat="1" ht="38.25" x14ac:dyDescent="0.2">
      <c r="A8" s="42" t="s">
        <v>318</v>
      </c>
      <c r="B8" s="42" t="s">
        <v>294</v>
      </c>
      <c r="C8" s="42" t="s">
        <v>300</v>
      </c>
      <c r="D8" s="42" t="s">
        <v>299</v>
      </c>
      <c r="E8" s="42" t="s">
        <v>319</v>
      </c>
      <c r="F8" s="42" t="s">
        <v>214</v>
      </c>
      <c r="G8" s="43" t="s">
        <v>301</v>
      </c>
      <c r="H8" s="42" t="s">
        <v>296</v>
      </c>
      <c r="I8" s="42"/>
      <c r="J8" s="43">
        <v>12</v>
      </c>
      <c r="K8" s="42" t="s">
        <v>311</v>
      </c>
      <c r="L8" s="42" t="s">
        <v>311</v>
      </c>
      <c r="M8" s="42" t="s">
        <v>243</v>
      </c>
      <c r="N8" s="42"/>
      <c r="O8" s="42"/>
      <c r="P8" s="42"/>
      <c r="Q8" s="42" t="s">
        <v>320</v>
      </c>
      <c r="R8" s="42"/>
      <c r="S8" s="42"/>
      <c r="T8" s="42" t="s">
        <v>267</v>
      </c>
      <c r="U8" s="42"/>
    </row>
    <row r="9" spans="1:21" s="41" customFormat="1" x14ac:dyDescent="0.2">
      <c r="A9" s="42" t="s">
        <v>321</v>
      </c>
      <c r="B9" s="42" t="s">
        <v>294</v>
      </c>
      <c r="C9" s="42" t="s">
        <v>300</v>
      </c>
      <c r="D9" s="42" t="s">
        <v>299</v>
      </c>
      <c r="E9" s="42" t="s">
        <v>322</v>
      </c>
      <c r="F9" s="42" t="s">
        <v>214</v>
      </c>
      <c r="G9" s="43" t="s">
        <v>323</v>
      </c>
      <c r="H9" s="42" t="s">
        <v>316</v>
      </c>
      <c r="I9" s="42"/>
      <c r="J9" s="43"/>
      <c r="K9" s="42" t="s">
        <v>297</v>
      </c>
      <c r="L9" s="42"/>
      <c r="M9" s="42"/>
      <c r="N9" s="42"/>
      <c r="O9" s="42"/>
      <c r="P9" s="42"/>
      <c r="Q9" s="42" t="s">
        <v>324</v>
      </c>
      <c r="R9" s="42"/>
      <c r="S9" s="42"/>
      <c r="T9" s="42" t="s">
        <v>267</v>
      </c>
      <c r="U9" s="42"/>
    </row>
    <row r="10" spans="1:21" ht="25.5" x14ac:dyDescent="0.2">
      <c r="A10" s="42" t="s">
        <v>325</v>
      </c>
      <c r="B10" s="42" t="s">
        <v>294</v>
      </c>
      <c r="C10" s="42" t="s">
        <v>300</v>
      </c>
      <c r="D10" s="42" t="s">
        <v>299</v>
      </c>
      <c r="E10" s="43" t="s">
        <v>326</v>
      </c>
      <c r="F10" s="43" t="s">
        <v>214</v>
      </c>
      <c r="G10" s="43" t="s">
        <v>327</v>
      </c>
      <c r="H10" s="42" t="s">
        <v>316</v>
      </c>
      <c r="I10" s="43"/>
      <c r="K10" s="42" t="s">
        <v>297</v>
      </c>
      <c r="L10" s="43"/>
      <c r="M10" s="43"/>
      <c r="N10" s="43"/>
      <c r="O10" s="43"/>
      <c r="P10" s="43"/>
      <c r="Q10" s="42" t="s">
        <v>328</v>
      </c>
      <c r="R10" s="43"/>
      <c r="S10" s="43"/>
      <c r="T10" s="42" t="s">
        <v>267</v>
      </c>
      <c r="U10" s="43"/>
    </row>
    <row r="11" spans="1:21" x14ac:dyDescent="0.2">
      <c r="A11" s="42" t="s">
        <v>329</v>
      </c>
      <c r="B11" s="42" t="s">
        <v>294</v>
      </c>
      <c r="C11" s="42" t="s">
        <v>300</v>
      </c>
      <c r="D11" s="42" t="s">
        <v>299</v>
      </c>
      <c r="E11" s="42" t="s">
        <v>330</v>
      </c>
      <c r="F11" s="42" t="s">
        <v>214</v>
      </c>
      <c r="G11" s="43" t="s">
        <v>331</v>
      </c>
      <c r="H11" s="42" t="s">
        <v>296</v>
      </c>
      <c r="J11" s="43">
        <v>600</v>
      </c>
      <c r="K11" s="42" t="s">
        <v>297</v>
      </c>
      <c r="Q11" s="42" t="s">
        <v>332</v>
      </c>
      <c r="T11" s="42" t="s">
        <v>267</v>
      </c>
    </row>
    <row r="12" spans="1:21" ht="25.5" x14ac:dyDescent="0.2">
      <c r="A12" s="42" t="s">
        <v>333</v>
      </c>
      <c r="B12" s="42" t="s">
        <v>294</v>
      </c>
      <c r="C12" s="42" t="s">
        <v>300</v>
      </c>
      <c r="D12" s="42" t="s">
        <v>299</v>
      </c>
      <c r="E12" s="42" t="s">
        <v>334</v>
      </c>
      <c r="F12" s="42" t="s">
        <v>214</v>
      </c>
      <c r="G12" s="43" t="s">
        <v>335</v>
      </c>
      <c r="H12" s="42" t="s">
        <v>296</v>
      </c>
      <c r="J12" s="43">
        <v>12</v>
      </c>
      <c r="K12" s="42" t="s">
        <v>311</v>
      </c>
      <c r="L12" s="42" t="s">
        <v>311</v>
      </c>
      <c r="M12" s="42" t="s">
        <v>243</v>
      </c>
      <c r="Q12" s="42" t="s">
        <v>336</v>
      </c>
      <c r="T12" s="42" t="s">
        <v>267</v>
      </c>
    </row>
    <row r="13" spans="1:21" x14ac:dyDescent="0.2">
      <c r="A13" s="42" t="s">
        <v>337</v>
      </c>
      <c r="B13" s="42" t="s">
        <v>294</v>
      </c>
      <c r="C13" s="42" t="s">
        <v>300</v>
      </c>
      <c r="D13" s="42" t="s">
        <v>299</v>
      </c>
      <c r="E13" s="42" t="s">
        <v>338</v>
      </c>
      <c r="F13" s="42" t="s">
        <v>214</v>
      </c>
      <c r="G13" s="43" t="s">
        <v>339</v>
      </c>
      <c r="H13" s="42" t="s">
        <v>316</v>
      </c>
      <c r="K13" s="42" t="s">
        <v>297</v>
      </c>
      <c r="Q13" s="42" t="s">
        <v>340</v>
      </c>
      <c r="T13" s="42" t="s">
        <v>267</v>
      </c>
    </row>
    <row r="14" spans="1:21" ht="25.5" x14ac:dyDescent="0.2">
      <c r="A14" s="42" t="s">
        <v>341</v>
      </c>
      <c r="B14" s="42" t="s">
        <v>294</v>
      </c>
      <c r="C14" s="42" t="s">
        <v>342</v>
      </c>
      <c r="D14" s="42" t="s">
        <v>341</v>
      </c>
      <c r="F14" s="42" t="s">
        <v>145</v>
      </c>
      <c r="G14" s="43" t="s">
        <v>343</v>
      </c>
      <c r="H14" s="42" t="s">
        <v>296</v>
      </c>
      <c r="J14" s="43">
        <v>60</v>
      </c>
      <c r="K14" s="42" t="s">
        <v>297</v>
      </c>
      <c r="Q14" s="42" t="s">
        <v>344</v>
      </c>
    </row>
    <row r="15" spans="1:21" ht="25.5" x14ac:dyDescent="0.2">
      <c r="A15" s="42" t="s">
        <v>345</v>
      </c>
      <c r="B15" s="42" t="s">
        <v>294</v>
      </c>
      <c r="C15" s="42" t="s">
        <v>342</v>
      </c>
      <c r="D15" s="42" t="s">
        <v>341</v>
      </c>
      <c r="E15" s="42" t="s">
        <v>322</v>
      </c>
      <c r="F15" s="42" t="s">
        <v>145</v>
      </c>
      <c r="G15" s="43" t="s">
        <v>346</v>
      </c>
      <c r="H15" s="42" t="s">
        <v>316</v>
      </c>
      <c r="K15" s="42" t="s">
        <v>297</v>
      </c>
      <c r="Q15" s="42" t="s">
        <v>347</v>
      </c>
    </row>
    <row r="16" spans="1:21" ht="25.5" x14ac:dyDescent="0.2">
      <c r="A16" s="42" t="s">
        <v>348</v>
      </c>
      <c r="B16" s="42" t="s">
        <v>294</v>
      </c>
      <c r="C16" s="42" t="s">
        <v>342</v>
      </c>
      <c r="D16" s="42" t="s">
        <v>348</v>
      </c>
      <c r="F16" s="42" t="s">
        <v>145</v>
      </c>
      <c r="G16" s="43" t="s">
        <v>343</v>
      </c>
      <c r="H16" s="42" t="s">
        <v>296</v>
      </c>
      <c r="J16" s="43">
        <v>60</v>
      </c>
      <c r="K16" s="42" t="s">
        <v>297</v>
      </c>
      <c r="Q16" s="42" t="s">
        <v>349</v>
      </c>
      <c r="T16" s="42" t="s">
        <v>266</v>
      </c>
    </row>
    <row r="17" spans="1:21" s="45" customFormat="1" ht="25.5" x14ac:dyDescent="0.2">
      <c r="A17" s="43" t="s">
        <v>293</v>
      </c>
      <c r="B17" s="43" t="s">
        <v>350</v>
      </c>
      <c r="C17" s="43" t="s">
        <v>293</v>
      </c>
      <c r="D17" s="43" t="s">
        <v>293</v>
      </c>
      <c r="E17" s="43"/>
      <c r="F17" s="43"/>
      <c r="G17" s="43">
        <v>1</v>
      </c>
      <c r="H17" s="43" t="s">
        <v>296</v>
      </c>
      <c r="I17" s="43"/>
      <c r="J17" s="43">
        <v>36</v>
      </c>
      <c r="K17" s="43" t="s">
        <v>297</v>
      </c>
      <c r="L17" s="43"/>
      <c r="M17" s="43"/>
      <c r="N17" s="43"/>
      <c r="O17" s="43"/>
      <c r="P17" s="43"/>
      <c r="Q17" s="42" t="s">
        <v>298</v>
      </c>
      <c r="R17" s="43"/>
      <c r="S17" s="43"/>
      <c r="T17" s="43"/>
      <c r="U17" s="43"/>
    </row>
    <row r="18" spans="1:21" x14ac:dyDescent="0.2">
      <c r="A18" s="42" t="s">
        <v>351</v>
      </c>
      <c r="B18" s="42" t="s">
        <v>350</v>
      </c>
      <c r="C18" s="42" t="s">
        <v>300</v>
      </c>
      <c r="D18" s="42" t="s">
        <v>299</v>
      </c>
      <c r="G18" s="43">
        <v>25</v>
      </c>
      <c r="H18" s="42" t="s">
        <v>316</v>
      </c>
      <c r="K18" s="42" t="s">
        <v>297</v>
      </c>
      <c r="Q18" s="42" t="s">
        <v>352</v>
      </c>
    </row>
    <row r="19" spans="1:21" x14ac:dyDescent="0.2">
      <c r="A19" s="42" t="s">
        <v>351</v>
      </c>
      <c r="B19" s="42" t="s">
        <v>350</v>
      </c>
      <c r="C19" s="42" t="s">
        <v>300</v>
      </c>
      <c r="D19" s="42" t="s">
        <v>299</v>
      </c>
      <c r="G19" s="43">
        <v>24</v>
      </c>
      <c r="H19" s="42" t="s">
        <v>316</v>
      </c>
      <c r="K19" s="42" t="s">
        <v>297</v>
      </c>
      <c r="Q19" s="42" t="s">
        <v>353</v>
      </c>
    </row>
    <row r="20" spans="1:21" ht="38.25" x14ac:dyDescent="0.2">
      <c r="A20" s="42" t="s">
        <v>351</v>
      </c>
      <c r="B20" s="42" t="s">
        <v>350</v>
      </c>
      <c r="C20" s="42" t="s">
        <v>300</v>
      </c>
      <c r="D20" s="42" t="s">
        <v>299</v>
      </c>
      <c r="G20" s="43">
        <v>24</v>
      </c>
      <c r="H20" s="42" t="s">
        <v>316</v>
      </c>
      <c r="K20" s="42" t="s">
        <v>297</v>
      </c>
      <c r="Q20" s="42" t="s">
        <v>354</v>
      </c>
    </row>
    <row r="21" spans="1:21" ht="38.25" x14ac:dyDescent="0.2">
      <c r="A21" s="42" t="s">
        <v>351</v>
      </c>
      <c r="B21" s="42" t="s">
        <v>350</v>
      </c>
      <c r="C21" s="42" t="s">
        <v>300</v>
      </c>
      <c r="D21" s="42" t="s">
        <v>299</v>
      </c>
      <c r="G21" s="43">
        <v>21</v>
      </c>
      <c r="H21" s="42" t="s">
        <v>296</v>
      </c>
      <c r="J21" s="43">
        <v>120</v>
      </c>
      <c r="K21" s="42" t="s">
        <v>297</v>
      </c>
      <c r="Q21" s="42" t="s">
        <v>355</v>
      </c>
    </row>
    <row r="22" spans="1:21" x14ac:dyDescent="0.2">
      <c r="A22" s="42" t="s">
        <v>351</v>
      </c>
      <c r="B22" s="42" t="s">
        <v>350</v>
      </c>
      <c r="C22" s="42" t="s">
        <v>300</v>
      </c>
      <c r="D22" s="42" t="s">
        <v>299</v>
      </c>
      <c r="G22" s="43">
        <v>22</v>
      </c>
      <c r="H22" s="42" t="s">
        <v>296</v>
      </c>
      <c r="J22" s="43">
        <v>240</v>
      </c>
      <c r="K22" s="42" t="s">
        <v>297</v>
      </c>
      <c r="Q22" s="42" t="s">
        <v>356</v>
      </c>
    </row>
    <row r="23" spans="1:21" ht="38.25" x14ac:dyDescent="0.2">
      <c r="A23" s="42" t="s">
        <v>351</v>
      </c>
      <c r="B23" s="42" t="s">
        <v>350</v>
      </c>
      <c r="C23" s="42" t="s">
        <v>300</v>
      </c>
      <c r="D23" s="42" t="s">
        <v>299</v>
      </c>
      <c r="G23" s="43">
        <v>22</v>
      </c>
      <c r="H23" s="42" t="s">
        <v>296</v>
      </c>
      <c r="J23" s="43">
        <v>240</v>
      </c>
      <c r="K23" s="42" t="s">
        <v>357</v>
      </c>
      <c r="Q23" s="42" t="s">
        <v>358</v>
      </c>
    </row>
    <row r="24" spans="1:21" ht="38.25" x14ac:dyDescent="0.2">
      <c r="A24" s="42" t="s">
        <v>351</v>
      </c>
      <c r="B24" s="42" t="s">
        <v>350</v>
      </c>
      <c r="C24" s="42" t="s">
        <v>300</v>
      </c>
      <c r="D24" s="42" t="s">
        <v>299</v>
      </c>
      <c r="G24" s="43">
        <v>21</v>
      </c>
      <c r="H24" s="42" t="s">
        <v>296</v>
      </c>
      <c r="J24" s="43">
        <v>120</v>
      </c>
      <c r="K24" s="42" t="s">
        <v>311</v>
      </c>
      <c r="L24" s="42" t="s">
        <v>311</v>
      </c>
      <c r="M24" s="42" t="s">
        <v>359</v>
      </c>
      <c r="Q24" s="42" t="s">
        <v>360</v>
      </c>
    </row>
    <row r="25" spans="1:21" ht="51" x14ac:dyDescent="0.2">
      <c r="A25" s="42" t="s">
        <v>351</v>
      </c>
      <c r="B25" s="42" t="s">
        <v>350</v>
      </c>
      <c r="C25" s="42" t="s">
        <v>300</v>
      </c>
      <c r="D25" s="42" t="s">
        <v>299</v>
      </c>
      <c r="G25" s="43">
        <v>24</v>
      </c>
      <c r="H25" s="42" t="s">
        <v>316</v>
      </c>
      <c r="K25" s="42" t="s">
        <v>297</v>
      </c>
      <c r="Q25" s="42" t="s">
        <v>361</v>
      </c>
    </row>
    <row r="26" spans="1:21" ht="38.25" x14ac:dyDescent="0.2">
      <c r="A26" s="42" t="s">
        <v>362</v>
      </c>
      <c r="B26" s="42" t="s">
        <v>350</v>
      </c>
      <c r="C26" s="42" t="s">
        <v>363</v>
      </c>
      <c r="D26" s="42" t="s">
        <v>363</v>
      </c>
      <c r="G26" s="43">
        <v>21</v>
      </c>
      <c r="H26" s="42" t="s">
        <v>296</v>
      </c>
      <c r="J26" s="43">
        <v>120</v>
      </c>
      <c r="K26" s="42" t="s">
        <v>297</v>
      </c>
      <c r="Q26" s="42" t="s">
        <v>358</v>
      </c>
      <c r="T26" s="42" t="s">
        <v>364</v>
      </c>
    </row>
    <row r="27" spans="1:21" x14ac:dyDescent="0.2">
      <c r="A27" s="42" t="s">
        <v>365</v>
      </c>
      <c r="B27" s="42" t="s">
        <v>350</v>
      </c>
      <c r="C27" s="42" t="s">
        <v>342</v>
      </c>
      <c r="D27" s="42" t="s">
        <v>341</v>
      </c>
      <c r="G27" s="43">
        <v>22</v>
      </c>
      <c r="H27" s="42" t="s">
        <v>296</v>
      </c>
      <c r="J27" s="43">
        <v>240</v>
      </c>
      <c r="K27" s="42" t="s">
        <v>297</v>
      </c>
      <c r="Q27" s="42" t="s">
        <v>356</v>
      </c>
    </row>
    <row r="28" spans="1:21" ht="51" x14ac:dyDescent="0.2">
      <c r="A28" s="42" t="s">
        <v>365</v>
      </c>
      <c r="B28" s="42" t="s">
        <v>350</v>
      </c>
      <c r="C28" s="42" t="s">
        <v>342</v>
      </c>
      <c r="D28" s="42" t="s">
        <v>341</v>
      </c>
      <c r="G28" s="43">
        <v>24</v>
      </c>
      <c r="H28" s="42" t="s">
        <v>316</v>
      </c>
      <c r="K28" s="42" t="s">
        <v>297</v>
      </c>
      <c r="Q28" s="42" t="s">
        <v>361</v>
      </c>
    </row>
    <row r="29" spans="1:21" ht="38.25" x14ac:dyDescent="0.2">
      <c r="A29" s="42" t="s">
        <v>365</v>
      </c>
      <c r="B29" s="42" t="s">
        <v>350</v>
      </c>
      <c r="C29" s="42" t="s">
        <v>342</v>
      </c>
      <c r="D29" s="42" t="s">
        <v>341</v>
      </c>
      <c r="G29" s="43">
        <v>21</v>
      </c>
      <c r="H29" s="42" t="s">
        <v>296</v>
      </c>
      <c r="J29" s="43">
        <v>120</v>
      </c>
      <c r="K29" s="42" t="s">
        <v>366</v>
      </c>
      <c r="Q29" s="42" t="s">
        <v>358</v>
      </c>
    </row>
    <row r="30" spans="1:21" ht="38.25" x14ac:dyDescent="0.2">
      <c r="A30" s="42" t="s">
        <v>365</v>
      </c>
      <c r="B30" s="42" t="s">
        <v>350</v>
      </c>
      <c r="C30" s="42" t="s">
        <v>342</v>
      </c>
      <c r="D30" s="42" t="s">
        <v>341</v>
      </c>
      <c r="G30" s="43">
        <v>21</v>
      </c>
      <c r="H30" s="42" t="s">
        <v>296</v>
      </c>
      <c r="J30" s="43">
        <v>120</v>
      </c>
      <c r="K30" s="42" t="s">
        <v>297</v>
      </c>
      <c r="Q30" s="42" t="s">
        <v>355</v>
      </c>
    </row>
    <row r="31" spans="1:21" x14ac:dyDescent="0.2">
      <c r="A31" s="42" t="s">
        <v>365</v>
      </c>
      <c r="B31" s="42" t="s">
        <v>350</v>
      </c>
      <c r="C31" s="42" t="s">
        <v>342</v>
      </c>
      <c r="D31" s="42" t="s">
        <v>341</v>
      </c>
      <c r="G31" s="43">
        <v>25</v>
      </c>
      <c r="H31" s="42" t="s">
        <v>316</v>
      </c>
      <c r="K31" s="42" t="s">
        <v>297</v>
      </c>
      <c r="Q31" s="42" t="s">
        <v>352</v>
      </c>
    </row>
    <row r="32" spans="1:21" ht="38.25" x14ac:dyDescent="0.2">
      <c r="A32" s="42" t="s">
        <v>365</v>
      </c>
      <c r="B32" s="42" t="s">
        <v>350</v>
      </c>
      <c r="C32" s="42" t="s">
        <v>342</v>
      </c>
      <c r="D32" s="42" t="s">
        <v>341</v>
      </c>
      <c r="G32" s="43">
        <v>24</v>
      </c>
      <c r="H32" s="42" t="s">
        <v>316</v>
      </c>
      <c r="K32" s="42" t="s">
        <v>297</v>
      </c>
      <c r="Q32" s="42" t="s">
        <v>354</v>
      </c>
    </row>
    <row r="33" spans="1:17" x14ac:dyDescent="0.2">
      <c r="A33" s="42" t="s">
        <v>365</v>
      </c>
      <c r="B33" s="42" t="s">
        <v>350</v>
      </c>
      <c r="C33" s="42" t="s">
        <v>342</v>
      </c>
      <c r="D33" s="42" t="s">
        <v>341</v>
      </c>
      <c r="G33" s="43">
        <v>24</v>
      </c>
      <c r="H33" s="42" t="s">
        <v>316</v>
      </c>
      <c r="K33" s="42" t="s">
        <v>297</v>
      </c>
      <c r="Q33" s="42" t="s">
        <v>353</v>
      </c>
    </row>
    <row r="34" spans="1:17" x14ac:dyDescent="0.2">
      <c r="A34" s="42" t="s">
        <v>365</v>
      </c>
      <c r="B34" s="42" t="s">
        <v>350</v>
      </c>
      <c r="C34" s="42" t="s">
        <v>342</v>
      </c>
      <c r="D34" s="42" t="s">
        <v>341</v>
      </c>
      <c r="G34" s="43">
        <v>21</v>
      </c>
      <c r="H34" s="42" t="s">
        <v>296</v>
      </c>
      <c r="J34" s="43">
        <v>120</v>
      </c>
      <c r="K34" s="42" t="s">
        <v>297</v>
      </c>
      <c r="Q34" s="42" t="s">
        <v>367</v>
      </c>
    </row>
    <row r="35" spans="1:17" ht="38.25" x14ac:dyDescent="0.2">
      <c r="A35" s="42" t="s">
        <v>365</v>
      </c>
      <c r="B35" s="42" t="s">
        <v>350</v>
      </c>
      <c r="C35" s="42" t="s">
        <v>342</v>
      </c>
      <c r="D35" s="42" t="s">
        <v>341</v>
      </c>
      <c r="G35" s="43">
        <v>21</v>
      </c>
      <c r="H35" s="42" t="s">
        <v>296</v>
      </c>
      <c r="J35" s="43">
        <v>120</v>
      </c>
      <c r="K35" s="42" t="s">
        <v>311</v>
      </c>
      <c r="L35" s="42" t="s">
        <v>311</v>
      </c>
      <c r="M35" s="42" t="s">
        <v>243</v>
      </c>
      <c r="Q35" s="42" t="s">
        <v>360</v>
      </c>
    </row>
    <row r="36" spans="1:17" ht="25.5" x14ac:dyDescent="0.2">
      <c r="A36" s="42" t="s">
        <v>368</v>
      </c>
      <c r="B36" s="42" t="s">
        <v>350</v>
      </c>
      <c r="C36" s="42" t="s">
        <v>293</v>
      </c>
      <c r="D36" s="42" t="s">
        <v>369</v>
      </c>
      <c r="G36" s="43">
        <v>1</v>
      </c>
      <c r="H36" s="42" t="s">
        <v>296</v>
      </c>
      <c r="J36" s="43">
        <v>12</v>
      </c>
      <c r="K36" s="42" t="s">
        <v>297</v>
      </c>
      <c r="Q36" s="42" t="s">
        <v>370</v>
      </c>
    </row>
    <row r="37" spans="1:17" ht="25.5" x14ac:dyDescent="0.2">
      <c r="A37" s="42" t="s">
        <v>371</v>
      </c>
      <c r="B37" s="42" t="s">
        <v>372</v>
      </c>
      <c r="C37" s="42" t="s">
        <v>300</v>
      </c>
      <c r="D37" s="42" t="s">
        <v>300</v>
      </c>
      <c r="G37" s="43" t="s">
        <v>373</v>
      </c>
      <c r="H37" s="42" t="s">
        <v>316</v>
      </c>
      <c r="K37" s="42" t="s">
        <v>297</v>
      </c>
    </row>
    <row r="38" spans="1:17" x14ac:dyDescent="0.2">
      <c r="A38" s="42" t="s">
        <v>300</v>
      </c>
      <c r="B38" s="42" t="s">
        <v>372</v>
      </c>
      <c r="C38" s="42" t="s">
        <v>300</v>
      </c>
      <c r="D38" s="42" t="s">
        <v>300</v>
      </c>
      <c r="G38" s="43" t="s">
        <v>373</v>
      </c>
      <c r="H38" s="42" t="s">
        <v>316</v>
      </c>
      <c r="K38" s="42" t="s">
        <v>297</v>
      </c>
    </row>
    <row r="39" spans="1:17" ht="25.5" x14ac:dyDescent="0.2">
      <c r="A39" s="42" t="s">
        <v>374</v>
      </c>
      <c r="B39" s="42" t="s">
        <v>372</v>
      </c>
      <c r="C39" s="42" t="s">
        <v>300</v>
      </c>
      <c r="D39" s="42" t="s">
        <v>300</v>
      </c>
      <c r="G39" s="43" t="s">
        <v>373</v>
      </c>
      <c r="H39" s="42" t="s">
        <v>296</v>
      </c>
      <c r="J39" s="43">
        <v>60</v>
      </c>
      <c r="K39" s="42" t="s">
        <v>375</v>
      </c>
    </row>
    <row r="40" spans="1:17" x14ac:dyDescent="0.2">
      <c r="A40" s="42" t="s">
        <v>342</v>
      </c>
      <c r="B40" s="42" t="s">
        <v>372</v>
      </c>
      <c r="C40" s="42" t="s">
        <v>342</v>
      </c>
      <c r="D40" s="42" t="s">
        <v>342</v>
      </c>
      <c r="G40" s="43" t="s">
        <v>373</v>
      </c>
      <c r="H40" s="42" t="s">
        <v>296</v>
      </c>
      <c r="J40" s="43">
        <v>60</v>
      </c>
      <c r="K40" s="42" t="s">
        <v>297</v>
      </c>
    </row>
    <row r="41" spans="1:17" x14ac:dyDescent="0.2">
      <c r="A41" s="42" t="s">
        <v>376</v>
      </c>
      <c r="B41" s="42" t="s">
        <v>372</v>
      </c>
      <c r="C41" s="42" t="s">
        <v>376</v>
      </c>
      <c r="D41" s="42" t="s">
        <v>376</v>
      </c>
      <c r="G41" s="43" t="s">
        <v>373</v>
      </c>
      <c r="H41" s="42" t="s">
        <v>296</v>
      </c>
      <c r="J41" s="43">
        <v>12</v>
      </c>
      <c r="K41" s="42" t="s">
        <v>297</v>
      </c>
    </row>
    <row r="42" spans="1:17" ht="38.25" x14ac:dyDescent="0.2">
      <c r="A42" s="42" t="s">
        <v>377</v>
      </c>
      <c r="B42" s="42" t="s">
        <v>372</v>
      </c>
      <c r="C42" s="42" t="s">
        <v>377</v>
      </c>
      <c r="D42" s="42" t="s">
        <v>377</v>
      </c>
      <c r="G42" s="43" t="s">
        <v>378</v>
      </c>
      <c r="H42" s="42" t="s">
        <v>296</v>
      </c>
      <c r="J42" s="43">
        <v>12</v>
      </c>
      <c r="K42" s="42" t="s">
        <v>297</v>
      </c>
    </row>
    <row r="43" spans="1:17" x14ac:dyDescent="0.2">
      <c r="A43" s="42" t="s">
        <v>293</v>
      </c>
      <c r="B43" s="42" t="s">
        <v>372</v>
      </c>
      <c r="C43" s="42" t="s">
        <v>293</v>
      </c>
      <c r="D43" s="42" t="s">
        <v>293</v>
      </c>
      <c r="G43" s="43" t="s">
        <v>378</v>
      </c>
      <c r="H43" s="42" t="s">
        <v>296</v>
      </c>
      <c r="J43" s="43">
        <v>12</v>
      </c>
      <c r="K43" s="42" t="s">
        <v>297</v>
      </c>
    </row>
    <row r="44" spans="1:17" x14ac:dyDescent="0.2">
      <c r="A44" s="42" t="s">
        <v>348</v>
      </c>
      <c r="B44" s="42" t="s">
        <v>372</v>
      </c>
      <c r="C44" s="42" t="s">
        <v>342</v>
      </c>
      <c r="D44" s="42" t="s">
        <v>348</v>
      </c>
      <c r="G44" s="43" t="s">
        <v>373</v>
      </c>
      <c r="H44" s="42" t="s">
        <v>296</v>
      </c>
      <c r="J44" s="43">
        <v>60</v>
      </c>
      <c r="K44" s="42" t="s">
        <v>297</v>
      </c>
    </row>
  </sheetData>
  <autoFilter ref="A2:U36" xr:uid="{00000000-0001-0000-0700-000000000000}"/>
  <pageMargins left="0" right="0" top="0.39370078740157483" bottom="0.39370078740157483" header="0" footer="0"/>
  <pageSetup paperSize="9" orientation="portrait" r:id="rId1"/>
  <headerFooter>
    <oddHeader>&amp;C&amp;A</oddHeader>
    <oddFooter>&amp;CPagina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9A632-32EA-4C25-922B-A0580C8D7AF6}">
  <dimension ref="A1:A2"/>
  <sheetViews>
    <sheetView workbookViewId="0">
      <pane xSplit="1" ySplit="2" topLeftCell="B3" activePane="bottomRight" state="frozen"/>
      <selection pane="topRight"/>
      <selection pane="bottomLeft"/>
      <selection pane="bottomRight"/>
    </sheetView>
  </sheetViews>
  <sheetFormatPr defaultColWidth="8.75" defaultRowHeight="12.75" x14ac:dyDescent="0.2"/>
  <cols>
    <col min="1" max="1" width="19.375" style="11" customWidth="1"/>
    <col min="2" max="16384" width="8.75" style="11"/>
  </cols>
  <sheetData>
    <row r="1" spans="1:1" s="17" customFormat="1" x14ac:dyDescent="0.2">
      <c r="A1" s="8" t="str">
        <f>CONCATENATE("Deelzaaktypen van zaaktype ",Zaaktype!B2,": ",Zaaktype!B3)</f>
        <v>Deelzaaktypen van zaaktype 9: Melding activiteit behandelen</v>
      </c>
    </row>
    <row r="2" spans="1:1" s="9" customFormat="1" x14ac:dyDescent="0.2">
      <c r="A2" s="9" t="s">
        <v>379</v>
      </c>
    </row>
  </sheetData>
  <pageMargins left="0" right="0" top="0.39370078740157483" bottom="0.39370078740157483" header="0" footer="0"/>
  <headerFooter>
    <oddHeader>&amp;C&amp;A</oddHeader>
    <oddFooter>&amp;CPagina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Blad10"/>
  <dimension ref="A1:AMJ10"/>
  <sheetViews>
    <sheetView workbookViewId="0">
      <pane xSplit="1" ySplit="2" topLeftCell="B7" activePane="bottomRight" state="frozen"/>
      <selection pane="topRight"/>
      <selection pane="bottomLeft"/>
      <selection pane="bottomRight" activeCell="A2" sqref="A2"/>
    </sheetView>
  </sheetViews>
  <sheetFormatPr defaultColWidth="8.75" defaultRowHeight="12.75" x14ac:dyDescent="0.2"/>
  <cols>
    <col min="1" max="1" width="45.75" style="1" customWidth="1"/>
    <col min="2" max="2" width="20.5" style="1" customWidth="1"/>
    <col min="3" max="3" width="58.5" style="1" customWidth="1"/>
    <col min="4" max="1024" width="45.75" style="1" customWidth="1"/>
    <col min="1025" max="16384" width="8.75" style="11"/>
  </cols>
  <sheetData>
    <row r="1" spans="1:3" s="8" customFormat="1" x14ac:dyDescent="0.2">
      <c r="A1" s="16" t="str">
        <f>CONCATENATE("Gerelateerde zaaktypen van zaaktype ",Zaaktype!B2,": ",Zaaktype!B3)</f>
        <v>Gerelateerde zaaktypen van zaaktype 9: Melding activiteit behandelen</v>
      </c>
      <c r="B1" s="16"/>
      <c r="C1" s="16"/>
    </row>
    <row r="2" spans="1:3" x14ac:dyDescent="0.2">
      <c r="A2" s="2" t="s">
        <v>380</v>
      </c>
      <c r="B2" s="2" t="s">
        <v>381</v>
      </c>
      <c r="C2" s="2" t="s">
        <v>11</v>
      </c>
    </row>
    <row r="3" spans="1:3" ht="76.5" x14ac:dyDescent="0.2">
      <c r="A3" s="1" t="s">
        <v>382</v>
      </c>
      <c r="B3" s="1" t="s">
        <v>383</v>
      </c>
      <c r="C3" s="1" t="s">
        <v>384</v>
      </c>
    </row>
    <row r="4" spans="1:3" ht="63.75" x14ac:dyDescent="0.2">
      <c r="A4" s="1" t="s">
        <v>385</v>
      </c>
      <c r="B4" s="1" t="s">
        <v>383</v>
      </c>
      <c r="C4" s="1" t="s">
        <v>386</v>
      </c>
    </row>
    <row r="5" spans="1:3" ht="76.5" x14ac:dyDescent="0.2">
      <c r="A5" s="1" t="s">
        <v>387</v>
      </c>
      <c r="B5" s="1" t="s">
        <v>383</v>
      </c>
      <c r="C5" s="1" t="s">
        <v>388</v>
      </c>
    </row>
    <row r="6" spans="1:3" ht="25.5" x14ac:dyDescent="0.2">
      <c r="A6" s="1" t="s">
        <v>389</v>
      </c>
      <c r="B6" s="1" t="s">
        <v>383</v>
      </c>
      <c r="C6" s="1" t="s">
        <v>390</v>
      </c>
    </row>
    <row r="7" spans="1:3" ht="76.5" x14ac:dyDescent="0.2">
      <c r="A7" s="1" t="s">
        <v>391</v>
      </c>
      <c r="B7" s="1" t="s">
        <v>383</v>
      </c>
      <c r="C7" s="1" t="s">
        <v>392</v>
      </c>
    </row>
    <row r="8" spans="1:3" ht="89.25" x14ac:dyDescent="0.2">
      <c r="A8" s="1" t="s">
        <v>387</v>
      </c>
      <c r="B8" s="1" t="s">
        <v>393</v>
      </c>
      <c r="C8" s="1" t="s">
        <v>394</v>
      </c>
    </row>
    <row r="9" spans="1:3" ht="38.25" x14ac:dyDescent="0.2">
      <c r="A9" s="1" t="s">
        <v>385</v>
      </c>
      <c r="B9" s="1" t="s">
        <v>393</v>
      </c>
      <c r="C9" s="1" t="s">
        <v>395</v>
      </c>
    </row>
    <row r="10" spans="1:3" ht="89.25" x14ac:dyDescent="0.2">
      <c r="A10" s="1" t="s">
        <v>391</v>
      </c>
      <c r="B10" s="1" t="s">
        <v>393</v>
      </c>
      <c r="C10" s="1" t="s">
        <v>396</v>
      </c>
    </row>
  </sheetData>
  <pageMargins left="0" right="0" top="0.39370078740157483" bottom="0.39370078740157483" header="0" footer="0"/>
  <headerFooter>
    <oddHeader>&amp;C&amp;A</oddHeader>
    <oddFooter>&amp;CPagina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Blad11"/>
  <dimension ref="A1"/>
  <sheetViews>
    <sheetView workbookViewId="0"/>
  </sheetViews>
  <sheetFormatPr defaultColWidth="9" defaultRowHeight="12.75" x14ac:dyDescent="0.2"/>
  <cols>
    <col min="1" max="1" width="10.625" style="15" customWidth="1"/>
    <col min="2" max="16384" width="9" style="15"/>
  </cols>
  <sheetData/>
  <pageMargins left="0" right="0" top="0.39370078740157483" bottom="0.39370078740157483" header="0" footer="0"/>
  <headerFooter>
    <oddHeader>&amp;C&amp;A</oddHeader>
    <oddFooter>&amp;CPagina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Blad12"/>
  <dimension ref="A1"/>
  <sheetViews>
    <sheetView workbookViewId="0"/>
  </sheetViews>
  <sheetFormatPr defaultColWidth="9" defaultRowHeight="12.75" x14ac:dyDescent="0.2"/>
  <cols>
    <col min="1" max="1" width="10.625" style="15" customWidth="1"/>
    <col min="2" max="16384" width="9" style="15"/>
  </cols>
  <sheetData/>
  <pageMargins left="0" right="0" top="0.39370078740157483" bottom="0.39370078740157483" header="0" footer="0"/>
  <headerFooter>
    <oddHeader>&amp;C&amp;A</oddHeader>
    <oddFooter>&amp;CPagina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0FADDF3D9201C458572280A8311A72B" ma:contentTypeVersion="14" ma:contentTypeDescription="Een nieuw document maken." ma:contentTypeScope="" ma:versionID="7ae6606d95fdae22679e0cd9d950eada">
  <xsd:schema xmlns:xsd="http://www.w3.org/2001/XMLSchema" xmlns:xs="http://www.w3.org/2001/XMLSchema" xmlns:p="http://schemas.microsoft.com/office/2006/metadata/properties" xmlns:ns2="a379d546-6df6-42fe-9fc4-ce0f23b99d99" xmlns:ns3="bb9dad94-8ba3-42aa-94b4-e7db833c08c7" targetNamespace="http://schemas.microsoft.com/office/2006/metadata/properties" ma:root="true" ma:fieldsID="a7e23c38bf02b4d9898eaddb92662d0f" ns2:_="" ns3:_="">
    <xsd:import namespace="a379d546-6df6-42fe-9fc4-ce0f23b99d99"/>
    <xsd:import namespace="bb9dad94-8ba3-42aa-94b4-e7db833c08c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79d546-6df6-42fe-9fc4-ce0f23b99d9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Afbeeldingtags" ma:readOnly="false" ma:fieldId="{5cf76f15-5ced-4ddc-b409-7134ff3c332f}" ma:taxonomyMulti="true" ma:sspId="a99bed0e-432a-4091-b929-67b863917b64"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b9dad94-8ba3-42aa-94b4-e7db833c08c7" elementFormDefault="qualified">
    <xsd:import namespace="http://schemas.microsoft.com/office/2006/documentManagement/types"/>
    <xsd:import namespace="http://schemas.microsoft.com/office/infopath/2007/PartnerControls"/>
    <xsd:element name="SharedWithUsers" ma:index="11"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Gedeeld met details" ma:internalName="SharedWithDetails" ma:readOnly="true">
      <xsd:simpleType>
        <xsd:restriction base="dms:Note">
          <xsd:maxLength value="255"/>
        </xsd:restriction>
      </xsd:simpleType>
    </xsd:element>
    <xsd:element name="TaxCatchAll" ma:index="16" nillable="true" ma:displayName="Taxonomy Catch All Column" ma:hidden="true" ma:list="{59a06ac0-b166-4d46-9555-bf3088b60bc1}" ma:internalName="TaxCatchAll" ma:showField="CatchAllData" ma:web="bb9dad94-8ba3-42aa-94b4-e7db833c08c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379d546-6df6-42fe-9fc4-ce0f23b99d99">
      <Terms xmlns="http://schemas.microsoft.com/office/infopath/2007/PartnerControls"/>
    </lcf76f155ced4ddcb4097134ff3c332f>
    <TaxCatchAll xmlns="bb9dad94-8ba3-42aa-94b4-e7db833c08c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5FE6BA8-84A3-407A-8737-673B0588283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379d546-6df6-42fe-9fc4-ce0f23b99d99"/>
    <ds:schemaRef ds:uri="bb9dad94-8ba3-42aa-94b4-e7db833c08c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E5E42F6-B1B5-40D2-9992-3E30E8C4927C}">
  <ds:schemaRefs>
    <ds:schemaRef ds:uri="http://schemas.microsoft.com/office/2006/metadata/properties"/>
    <ds:schemaRef ds:uri="http://schemas.microsoft.com/office/infopath/2007/PartnerControls"/>
    <ds:schemaRef ds:uri="a379d546-6df6-42fe-9fc4-ce0f23b99d99"/>
    <ds:schemaRef ds:uri="bb9dad94-8ba3-42aa-94b4-e7db833c08c7"/>
  </ds:schemaRefs>
</ds:datastoreItem>
</file>

<file path=customXml/itemProps3.xml><?xml version="1.0" encoding="utf-8"?>
<ds:datastoreItem xmlns:ds="http://schemas.openxmlformats.org/officeDocument/2006/customXml" ds:itemID="{0CBA35B9-46A7-4CE2-A4D4-7ACFF7700179}">
  <ds:schemaRefs>
    <ds:schemaRef ds:uri="http://schemas.microsoft.com/sharepoint/v3/contenttype/forms"/>
  </ds:schemaRefs>
</ds:datastoreItem>
</file>

<file path=docMetadata/LabelInfo.xml><?xml version="1.0" encoding="utf-8"?>
<clbl:labelList xmlns:clbl="http://schemas.microsoft.com/office/2020/mipLabelMetadata">
  <clbl:label id="{0ce80e9c-661b-453a-b52e-c00e4f65cc34}" enabled="1" method="Standard" siteId="{bbc3bd55-2812-4652-96ae-ce7932a2e8b5}"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13</vt:i4>
      </vt:variant>
    </vt:vector>
  </HeadingPairs>
  <TitlesOfParts>
    <vt:vector size="13" baseType="lpstr">
      <vt:lpstr>Zaaktype</vt:lpstr>
      <vt:lpstr>Statussen</vt:lpstr>
      <vt:lpstr>Checklists</vt:lpstr>
      <vt:lpstr>Rollen</vt:lpstr>
      <vt:lpstr>Objecten</vt:lpstr>
      <vt:lpstr>Eigenschappen</vt:lpstr>
      <vt:lpstr>Informatieobjecten</vt:lpstr>
      <vt:lpstr>Besluiten</vt:lpstr>
      <vt:lpstr>Resultaten</vt:lpstr>
      <vt:lpstr>Deelzaken</vt:lpstr>
      <vt:lpstr>Gerelateerde zaken</vt:lpstr>
      <vt:lpstr>Afbeelding</vt:lpstr>
      <vt:lpstr>Figuur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ZAAKTYPEN-OW</dc:title>
  <dc:subject/>
  <dc:creator>Paul Jansen</dc:creator>
  <cp:keywords/>
  <dc:description/>
  <cp:lastModifiedBy>Paul Jansen</cp:lastModifiedBy>
  <cp:revision>4</cp:revision>
  <dcterms:created xsi:type="dcterms:W3CDTF">2020-11-30T10:15:19Z</dcterms:created>
  <dcterms:modified xsi:type="dcterms:W3CDTF">2025-12-18T08:01:33Z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0x01010080FADDF3D9201C458572280A8311A72B</vt:lpwstr>
  </property>
  <property fmtid="{D5CDD505-2E9C-101B-9397-08002B2CF9AE}" pid="3" name="MediaServiceImageTags">
    <vt:lpwstr/>
  </property>
</Properties>
</file>