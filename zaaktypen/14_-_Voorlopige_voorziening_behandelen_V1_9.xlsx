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https://vvng.sharepoint.com/sites/ActualisatieZTCPDC/Gedeelde documenten/General/ZTC/ZTC-Ow/"/>
    </mc:Choice>
  </mc:AlternateContent>
  <xr:revisionPtr revIDLastSave="625" documentId="13_ncr:1_{900694B7-DBA0-4DF0-AE47-ADB3B7506279}" xr6:coauthVersionLast="47" xr6:coauthVersionMax="47" xr10:uidLastSave="{88C9465D-44F8-429E-80D1-34C48B575A23}"/>
  <bookViews>
    <workbookView xWindow="-120" yWindow="-16320" windowWidth="29040" windowHeight="15720" xr2:uid="{00000000-000D-0000-FFFF-FFFF00000000}"/>
  </bookViews>
  <sheets>
    <sheet name="Zaaktype" sheetId="1" r:id="rId1"/>
    <sheet name="Statussen" sheetId="2" r:id="rId2"/>
    <sheet name="Checklists" sheetId="13" r:id="rId3"/>
    <sheet name="Rollen" sheetId="3" r:id="rId4"/>
    <sheet name="Objecten" sheetId="4" r:id="rId5"/>
    <sheet name="Eigenschappen" sheetId="5" r:id="rId6"/>
    <sheet name="Informatieobjecten" sheetId="6" r:id="rId7"/>
    <sheet name="Besluiten" sheetId="14" r:id="rId8"/>
    <sheet name="Resultaten" sheetId="8" r:id="rId9"/>
    <sheet name="Deelzaken" sheetId="15" r:id="rId10"/>
    <sheet name="Gerelateerde zaken" sheetId="10" r:id="rId11"/>
    <sheet name="Afbeelding" sheetId="11" r:id="rId12"/>
    <sheet name="Figuur" sheetId="12"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0" l="1"/>
  <c r="A1" i="15"/>
  <c r="A1" i="8"/>
  <c r="A1" i="14"/>
  <c r="A1" i="6"/>
  <c r="A1" i="5"/>
  <c r="A1" i="4"/>
  <c r="A1" i="3"/>
  <c r="A1" i="13"/>
  <c r="A1" i="2"/>
</calcChain>
</file>

<file path=xl/sharedStrings.xml><?xml version="1.0" encoding="utf-8"?>
<sst xmlns="http://schemas.openxmlformats.org/spreadsheetml/2006/main" count="591" uniqueCount="365">
  <si>
    <t>Kenmerk</t>
  </si>
  <si>
    <t>Waarde</t>
  </si>
  <si>
    <t>IDENTIFICATIE</t>
  </si>
  <si>
    <t>OMSCHRIJVING</t>
  </si>
  <si>
    <t>Voorlopige voorziening behandelen</t>
  </si>
  <si>
    <t>CATEGORIE</t>
  </si>
  <si>
    <t>DOEL</t>
  </si>
  <si>
    <t>Het bij de voorzieningenrechter van een rechtsprekende instantie verdedigen van een genomen besluit, in afwachting van de behandeling van het bezwaar, beroep of hoger beroep tegen dat besluit.</t>
  </si>
  <si>
    <t>AANLEIDING</t>
  </si>
  <si>
    <t>De zaakbehandelende organisatie heeft van de rechtsprekende instantie bericht ontvangen dat een verzoek tot het treffen van een voorlopige voorziening is ontvangen met betrekking tot een bestreden besluit, waartegen de indiener van het verzoek om voorlopige voorziening bezwaar heeft gemaakt, of beroep of hoger beroep heeft ingesteld.</t>
  </si>
  <si>
    <t>TOELICHTING</t>
  </si>
  <si>
    <t>Het verzoek om voorlopige voorziening is door de partij die het besluit bestrijdt - en daartegen bezwaar heeft aangetekend of (hoger) beroep heeft ingesteld - gericht aan de rechtsprekende instantie en ter verweer doorgestuurd naar de zaakbehandelende organisatie.
Alle in dit zaaktype genoemde termijnen zijn louter indicatief. In elke zaak van dit zaaktype zal de rechtsprekende instantie de termijnen stellen die de zaakbehandelende organisatie dient te volgen.
Als een ander bevoegd gezag de verweerder is in de voorlopige voorziening-zaak en aan de zaakbehandelende organisatie vraagt om een bijdrage aan het verweer, dan is sprake van een zaak van het zaaktype ‘Advies verstrekken’.</t>
  </si>
  <si>
    <t>INDICATIE INTERN OF EXTERN</t>
  </si>
  <si>
    <t>Extern</t>
  </si>
  <si>
    <t>HANDELING INITIATOR</t>
  </si>
  <si>
    <t>Indienen</t>
  </si>
  <si>
    <t>ONDERWERP</t>
  </si>
  <si>
    <t>Verzoek om voorlopige voorziening</t>
  </si>
  <si>
    <t>HANDELING BEHANDELAAR</t>
  </si>
  <si>
    <t>Behandelen</t>
  </si>
  <si>
    <t>DOORLOOPTIJD BEHANDELING (KALENDERDAGEN) (2.1)</t>
  </si>
  <si>
    <t>- DOORLOOPTIJD - PERIODE-EENHEID (2.2)</t>
  </si>
  <si>
    <t>- DOORLOOPTIJD - PERIODEDUUR (2.2)</t>
  </si>
  <si>
    <t>SERVICENORM BEHANDELING (KALENDERDAGEN) (2.1)</t>
  </si>
  <si>
    <t>OPSCHORTING / AANHOUDING MOGELIJK</t>
  </si>
  <si>
    <t>Nee</t>
  </si>
  <si>
    <t>VERLENGING MOGELIJK</t>
  </si>
  <si>
    <t>VERLENGINGSTERMIJN</t>
  </si>
  <si>
    <t>TREFWOORDEN</t>
  </si>
  <si>
    <t>VERTROUWELIJKHEIDAANDUIDING</t>
  </si>
  <si>
    <t>Openbaar</t>
  </si>
  <si>
    <t>VERANTWOORDELIJKE</t>
  </si>
  <si>
    <t>PUBLICATIE-INDICATIE</t>
  </si>
  <si>
    <t>PUBLICATIETEKST</t>
  </si>
  <si>
    <t>PRODUCT / DIENST:</t>
  </si>
  <si>
    <t>- NAAM</t>
  </si>
  <si>
    <t>- LINK</t>
  </si>
  <si>
    <t>REFERENTIEPROCES:</t>
  </si>
  <si>
    <t>VERANTWOORDINGSRELATIE (2.2)</t>
  </si>
  <si>
    <t>ARCHIEFCLASSIFICATIE (2.2):</t>
  </si>
  <si>
    <t>- BRON</t>
  </si>
  <si>
    <t>- CODE (2.1)</t>
  </si>
  <si>
    <t>- INDICATIE ZTC</t>
  </si>
  <si>
    <t>SELECTIELIJST PROCESTYPE (2.2):</t>
  </si>
  <si>
    <t>- NUMMER</t>
  </si>
  <si>
    <t>- PROCESOBJECTTYPE</t>
  </si>
  <si>
    <t>- SELECTIELIJST-OMSCHRIJVING</t>
  </si>
  <si>
    <t>VERSIEDATUM</t>
  </si>
  <si>
    <t>DATUM BEGIN GELDIGHEID</t>
  </si>
  <si>
    <t>DATUM EINDE GELDIGHEID</t>
  </si>
  <si>
    <t>Volgnr.</t>
  </si>
  <si>
    <t>Omschrijving</t>
  </si>
  <si>
    <t>Doorlooptijd -
duur</t>
  </si>
  <si>
    <t>Doorlooptijd -
eenheid (2.2)</t>
  </si>
  <si>
    <t>Informeren</t>
  </si>
  <si>
    <t>Statustekst</t>
  </si>
  <si>
    <t>Toelichting</t>
  </si>
  <si>
    <t>Verplichte informatieobjecten</t>
  </si>
  <si>
    <t>Verplichte zaakobjecten</t>
  </si>
  <si>
    <t>Verplichte eigenschappen</t>
  </si>
  <si>
    <t>Datum begin geldigheid</t>
  </si>
  <si>
    <t>1</t>
  </si>
  <si>
    <t>Zaak gestart</t>
  </si>
  <si>
    <t>kalenderdagen</t>
  </si>
  <si>
    <t>De zaak is geregistreerd, maar is nog geen sprake van een afgeronde registratie. Er is - al dan niet geautomatiseerd - een ontvangstbevestiging verzonden.</t>
  </si>
  <si>
    <t>2</t>
  </si>
  <si>
    <t>Intake afgerond</t>
  </si>
  <si>
    <t>Ja</t>
  </si>
  <si>
    <t>De zaak is geregistreerd, de behandelend medewerker of het behandelend organisatieonderdeel is bepaald en de planning van de zaak is afgestemd op de specifieke rechtszaak.</t>
  </si>
  <si>
    <t>Bestreden besluit</t>
  </si>
  <si>
    <t>3</t>
  </si>
  <si>
    <t>Stukken toegezonden</t>
  </si>
  <si>
    <t>Op verzoek van de rechtsprekende instantie zijn relevante stukken verzameld en toegezonden (art. 8:42, lid 1 Algemene wet bestuursrecht) aan de rechtsprekende instantie. Het zaakdossier bevat alle relevante stukken.
Eventuele voor het verweer benodigde adviezen zijn aangevraagd.
Het verweerschrift is opgesteld, eventueel gebruik makend van adviezen van specialisten. Het verweerschrift is met eventuele aanvullende stukken ingediend bij de rechtsprekende instantie.</t>
  </si>
  <si>
    <t>Aanvullend stuk
Verweerschrift</t>
  </si>
  <si>
    <t>4</t>
  </si>
  <si>
    <t>Zitting bijgewoond</t>
  </si>
  <si>
    <t>Van de rechtsprekende instantie is een uitnodiging ontvangen voor het bijwonen van de zitting. Ter voorbereiding op het pleidooi kan een pleitnota zijn opgesteld.
Vervolgens is de zitting (of zijn de zittingen) van de rechtsprekende instantie bijgewoond. Tijdens de zitting is het verzoekschrift behandeld en het pleidooi gehouden.</t>
  </si>
  <si>
    <t>Uitnodiging zitting
Pleitnota</t>
  </si>
  <si>
    <t>5</t>
  </si>
  <si>
    <t>Zaak afgerond</t>
  </si>
  <si>
    <t>De uitspraak van de rechtsprekende instantie is ontvangen.
Eventuele consequenties van de uitspraak voor (de uitvoering van) het bestreden besluit zijn verwerkt.
Indien de voorzieningenrechter van de rechtsprekende instantie tevens uitspraak heeft gedaan in de gerelateerde beroepzaak is ook de gerelateerde beroepzaak bijgewerkt op basis van de uitspraak.
Het zaakdossier is afgesloten en gearchiveerd.</t>
  </si>
  <si>
    <t>Statustype</t>
  </si>
  <si>
    <t>Itemnaam</t>
  </si>
  <si>
    <t>Vraagstelling</t>
  </si>
  <si>
    <t>Verplicht</t>
  </si>
  <si>
    <t>1 - Registratie</t>
  </si>
  <si>
    <t>Is het verzoek om voorlopige voorziening geregistreerd als nieuwe zaak?</t>
  </si>
  <si>
    <t>Direct na ontvangst van het verzoekschrift wordt een zaak aangemaakt voor de behandeling ervan. Idealiter is het juiste zaaktype bepaald en zijn alle voor een zaak van dat zaaktype relevante gegevens vastgelegd. Indien dat niet mogelijk is, wordt het vervolg van de registratie uitgevoerd door een medewerker die deskundig is binnen het domein waarop de zaak betrekking heeft.</t>
  </si>
  <si>
    <t>2 - Ontvangstbevestiging</t>
  </si>
  <si>
    <t>Is een ontvangstbevestiging verzonden?</t>
  </si>
  <si>
    <t>Aan de rechtsprekende instantie wordt een ontvangstbevestiging verzonden.</t>
  </si>
  <si>
    <t>1 - Bevoegd</t>
  </si>
  <si>
    <t>Is de zaakbehandelende organisatie bevoegd de zaak te behandelen?</t>
  </si>
  <si>
    <t>Beoordeeld wordt of de zaakbehandelende organisatie de zaak kan behandelen, hetzij omdat de zaakbehandelende organisatie bevoegd gezag is, dan wel omdat het bevoegd gezag de zaakbehandelende organisatie heeft gemandateerd tot vertegenwoordiging (volledig mandaat). Indien de zaakbehandelende organisatie niet bevoegd of onvoldoende gemandateerd is, wordt het verzoekschrift direct doorgezonden naar het juiste bevoegd gezag en wordt de indiener hierover geïnformeerd (art. 6:15 lid 1 en lid 2 Algemene wet bestuursrecht).</t>
  </si>
  <si>
    <t>2 - Registratie</t>
  </si>
  <si>
    <t>Zijn de gegevens compleet?</t>
  </si>
  <si>
    <t>Controleer of alle documenten en gegevens die binnen zijn gekomen ten behoeve van deze zaak, correct geregistreerd zijn in de zaak.</t>
  </si>
  <si>
    <t>3 - Behandelaar</t>
  </si>
  <si>
    <t>Is het behandelend team of medewerker bepaald?</t>
  </si>
  <si>
    <t>De zaak is gerelateerd aan de zaak waarin het bestreden besluit is behandeld. De behandelend medewerker of het behandelend organisatieonderdeel is bepaald en de zaak is volledig geregistreerd.</t>
  </si>
  <si>
    <t>1 - Compleet</t>
  </si>
  <si>
    <t>Zijn alle voor het beroep relevante stukken beschikbaar?</t>
  </si>
  <si>
    <t>Beoordeeld wordt of alle voor de behandeling van het verzoek om voorlopige voorziening relevante stukken beschikbaar zijn in de zaak (via aan onderhavige zaak gerelateerde zaken, waaronder de zaak waarin het bestreden besluit is genomen en/of door de relevante stukken op te nemen in het zaakdossier). </t>
  </si>
  <si>
    <t>2 - Adviezen gevraagd</t>
  </si>
  <si>
    <t>Zijn de voor het verweer relevante adviezen gevraagd?</t>
  </si>
  <si>
    <t>Voor het toetsen van het verzoekschrift aan regelgeving en het opstellen van het verweerschrift, kunnen adviezen noodzakelijk zijn. 
In een aantal gevallen is wettelijk voorgeschreven dat advies moet worden gevraagd aan een persoon die of college dat niet werkzaam is onder de verantwoordelijkheid van de zaakbehandelende organisatie (wettelijke adviseurs, Afdeling 3.3 Algemene wet bestuursrecht, § 2.5 Wet algemene bepalingen omgevingsrecht, art. 16.15 en art. 16.16 Omgevingswet). Het kan echter ook nodig zijn advies in te winnen bij in- of externe adviseurs zonder dat daartoe een directe wettelijke verplichting bestaat, bijvoorbeeld omdat aspecten van de aanvraag een specialistische beoordeling vergen.
Het ligt in de rede adviseurs die betrokken zijn geweest bij de voorbereiding van het bestreden besluit, te informeren over - en zonodig te betrekken bij de beoordeling van - het ontvangen verzoekschrift.</t>
  </si>
  <si>
    <t>3 - Adviezen ontvangen</t>
  </si>
  <si>
    <t>Zijn de aangevraagde adviezen ontvangen?</t>
  </si>
  <si>
    <t>Indien voor het opstellen van het verweerschrift adviezen van specialisten noodzakelijk zijn, wordt geverifieerd of deze zijn ontvangen.</t>
  </si>
  <si>
    <t>4 - Verweerschrift opgesteld</t>
  </si>
  <si>
    <t>Is het verweerschrift opgesteld?</t>
  </si>
  <si>
    <t>Het verweerschrift is, eventueel met gebruikmaking van de ontvangen adviezen, opgesteld ter verdediging van het bestreden besluit. </t>
  </si>
  <si>
    <t>5 - Toezending</t>
  </si>
  <si>
    <t>Zijn de relevante stukken aan de rechtsprekende instantie toegezonden?</t>
  </si>
  <si>
    <t>De rechtsprekende instantie zal hebben verzocht om aanvullende stukken. Deze aanvullende stukken zijn verzameld en samen met het verweerschrift aan de rechtsprekende instantie toegezonden. Eventuele aanvullende stukken die door de indiener van het beroepschrift zijn aangeleverd, zijn opgenomen in het zaakdossier.</t>
  </si>
  <si>
    <t>1 - Zittingsdatum</t>
  </si>
  <si>
    <t>Is de datum van de zitting vastgelegd?</t>
  </si>
  <si>
    <t>De zaakbehandelende organisatie ontvangt van de voorzieningenrechter van de rechtsprekende instantie de uitnodiging voor de zitting. De zittingsdatum wordt vastgelegd in onderhavige zaak en zonodig in de agenda('s) van de personen (medewerkers en eventuele adviseurs) die de zaakbehandelende organisatie ter zitting zullen vertegenwoordigen.</t>
  </si>
  <si>
    <t>2 - Pleitnota</t>
  </si>
  <si>
    <t>Is de pleitnota opgesteld?</t>
  </si>
  <si>
    <t>Ter ondersteuning van het verweer tijdens de zitting, kan een pleitnota zijn opgesteld.</t>
  </si>
  <si>
    <t>3 - Nadere stukken</t>
  </si>
  <si>
    <t>Zijn er nog nadere stukken in te dienen voor de zitting?</t>
  </si>
  <si>
    <t>Eventuele informatie die nog niet aan de rechtsprekende instantie was aangeleverd, moet uiterlijk één dag voor de zitting worden ingediend (art. 8:83, lid 1 Algemene wet bestuursrecht, juncto art. 8:58, lid 1 Algemene wet bestuursrecht).</t>
  </si>
  <si>
    <t>4 - Machtiging</t>
  </si>
  <si>
    <t>Is een machtiging voor vertegenwoordiging noodzakelijk?</t>
  </si>
  <si>
    <t>Indien het bevoegd gezag dat het bestreden besluit heeft genomen zich laat vertegenwoordigen door een gemachtigde, kan de rechtsprekende instantie van de gemachtigde een schriftelijke machtiging verlangen (art. 2:1, lid 2 Algemene wet bestuursrecht). Geverifieerd wordt of de vertegenwoordigers van het bevoegd gezag beschikken over een schriftelijke machtiging; is dit niet het geval, dan wordt voor een schriftelijke machtiging gezorgd.</t>
  </si>
  <si>
    <t>1 - Uitspraak</t>
  </si>
  <si>
    <t>Is de uitspraak van de rechtsprekende instantie ontvangen?</t>
  </si>
  <si>
    <t>Tijdens, of zo spoedig mogelijk na, de zitting doet de rechtsprekende instantie mondeling of schriftelijk uitspraak (art. 8:84, lid 1 Algemene wet bestuursrecht). De uitspraak wordt vastgelegd in onderhavige zaak.</t>
  </si>
  <si>
    <t>2 - Archivering</t>
  </si>
  <si>
    <t>Is het zaakdossier compleet en archiefwaardig?</t>
  </si>
  <si>
    <t>Gecontroleerd wordt of het zaakdossier alle relevante informatie bevat en is ontdaan van - voor de reproductie van / verantwoording over de procesgang - niet relevante informatie. Alle in het zaakdossier vastgelegde informatie is of wordt voorzien van de voor archivering vereiste metadata en is of wordt opgeslagen in een duurzaam toegankelijk (bestands)formaat.</t>
  </si>
  <si>
    <t>3 - Registraties</t>
  </si>
  <si>
    <t>Zijn de voor de zaak relevante registraties bijgewerkt?</t>
  </si>
  <si>
    <t>De uitkomst van de zaak kan leiden tot een mutatie in één of meer (basis)registraties. Denk aan het verlenen van toestemming voor het slopen van een pand (moet leiden tot verwijdering van dat pand in de BAG), het oprichten van een bouwwerk (moet leiden tot creatie van dat bouwwerk in de BAG), het toestaan van een milieubelastende activiteit (kan leiden tot opname van die activiteit op de 'risicokaart') of het nemen van een handhavingsbesluit t.a.v. een overtreding (kan leiden tot registratie van een beperking in de landelijke voorziening voor de WKPB).
Dit zijn slechts enkele voorbeelden; alle relevante (basis)registraties dienen te worden bijgewerkt op basis van de uitkomst van onderhavige zaak.</t>
  </si>
  <si>
    <t>4 - Gerelateerde zaak</t>
  </si>
  <si>
    <t>Zijn de aan onderhavige zaak gerelateerde zaken bijgewerkt?</t>
  </si>
  <si>
    <t>De uitkomst van onderhavige zaak kan gevolgen hebben voor gerelateerde zaken:
als de voorlopige voorziening geheel of gedeeltelijk is toegewezen, kan (de uitvoering van) het bestreden besluit moeten worden opgeschort (tot de voorlopige voorziening vervalt, zie art. 8:85, lid 2 Algemene wet bestuursrecht);
het kan wenselijk zijn (extra) toezicht te houden op de naleving van de uitkomst van onderhavige zaak middels een gerelateerde vervolgzaak van het zaaktype 'Controle uitvoeren';
als de voorzieningenrechter van de rechtsprekende instantie tevens uitspraak heeft gedaan in de 'hoofdzaak' (confrom art. 8:86, lid 1 Algemene wet bestuursrecht; voor de zaakbehandelende organisatie is dit de gerelateerde zaak van het zaaktype 'Beroep behandelen' waarin het bestreden besluit inhoudelijk wordt behandeld), moet deze 'hoofdzaak' worden bijgewerkt. De eventuele consequenties van de uitspraak in de 'hoofdzaak' - denk aan het nemen van een nieuw besluit als het bestreden besluit in de uitspraak is vernietigd - worden niet in onderhavige zaak, maar in, of gerelateerd aan, de hoofdzaak (de gerelateerde zaak van het zaaktype 'Beroep behandelen') verwerkt.</t>
  </si>
  <si>
    <t>Omschrijving generiek</t>
  </si>
  <si>
    <t>Soort betrokkene</t>
  </si>
  <si>
    <t>Mag zetten Statustype</t>
  </si>
  <si>
    <t>Administratief medewerker</t>
  </si>
  <si>
    <t>Behandelaar</t>
  </si>
  <si>
    <t>1 - Zaak gestart
5 - Zaak afgerond</t>
  </si>
  <si>
    <t>Adviseur</t>
  </si>
  <si>
    <t>Bevoegd gezag</t>
  </si>
  <si>
    <t>Belanghebbende</t>
  </si>
  <si>
    <t>Bevoegd gezag dat het bestreden besluit heeft genomen</t>
  </si>
  <si>
    <t>Derde belanghebbende</t>
  </si>
  <si>
    <t>Natuurlijk persoon, Niet-natuurlijk persoon, Vestiging</t>
  </si>
  <si>
    <t>Indiener verzoekschrift</t>
  </si>
  <si>
    <t>Rechtsprekende instantie</t>
  </si>
  <si>
    <t>Initiator</t>
  </si>
  <si>
    <t>Rechtbank of Raad van State</t>
  </si>
  <si>
    <t>Verweerder</t>
  </si>
  <si>
    <t>2 - Intake afgerond
3 - Stukken toegezonden
4 - Zitting bijgewoond</t>
  </si>
  <si>
    <t>Zaakverantwoordelijke</t>
  </si>
  <si>
    <t>Beslisser</t>
  </si>
  <si>
    <t>Naam objecttype</t>
  </si>
  <si>
    <t>Niet-RSGB/RGBZ- objecttype?</t>
  </si>
  <si>
    <t>Omschrijving relatie met zaaktype</t>
  </si>
  <si>
    <t>ANDER BUITENLANDS NIET-NATUURLIJK PERSOON</t>
  </si>
  <si>
    <t>nee</t>
  </si>
  <si>
    <t>Ander buitenlands niet-natuurlijk persoon waarop de zaak betrekking heeft.</t>
  </si>
  <si>
    <t>ANDER NATUURLIJK PERSOON</t>
  </si>
  <si>
    <t>Ander natuurlijk persoon waarop de zaak betrekking heeft.</t>
  </si>
  <si>
    <t>APPARTEMENTSRECHT</t>
  </si>
  <si>
    <t>Appartementsrecht waarop de zaak betrekking heeft.</t>
  </si>
  <si>
    <t>BESLUIT</t>
  </si>
  <si>
    <t>Besluit waarop de zaak betrekking heeft.</t>
  </si>
  <si>
    <t>BUURT</t>
  </si>
  <si>
    <t>Buurt waarop de zaak betrekking heeft.</t>
  </si>
  <si>
    <t>ENKELVOUDIG DOCUMENT</t>
  </si>
  <si>
    <t>Enkelvoudig document waarop de zaak betrekking heeft.</t>
  </si>
  <si>
    <t>GEMEENTE</t>
  </si>
  <si>
    <t>Gemeente waarop de zaak betrekking heeft.</t>
  </si>
  <si>
    <t>GEMEENTELIJKE OPENBARE RUIMTE</t>
  </si>
  <si>
    <t>Gemeentelijke openbare ruimte waarop de zaak betrekking heeft.</t>
  </si>
  <si>
    <t>HANDHAVINGSOBJECT</t>
  </si>
  <si>
    <t>Handhavingsobject waarop de zaak betrekking heeft.</t>
  </si>
  <si>
    <t>HUISHOUDEN</t>
  </si>
  <si>
    <t>Huishouden waarop de zaak betrekking heeft.</t>
  </si>
  <si>
    <t>INGESCHREVEN NIET-NATUURLIJK PERSOON</t>
  </si>
  <si>
    <t>Ingeschreven niet-natuurlijk persoon waarop de zaak betrekking heeft.</t>
  </si>
  <si>
    <t>INGEZETENE</t>
  </si>
  <si>
    <t>Ingezetene waarop de zaak betrekking heeft.</t>
  </si>
  <si>
    <t>INRICHTINGSELEMENT</t>
  </si>
  <si>
    <t>Inrichtingselement waarop de zaak betrekking heeft.</t>
  </si>
  <si>
    <t>KADASTRAAL PERCEEL</t>
  </si>
  <si>
    <t>Kadastraal perceel waarop de zaak betrekking heeft.</t>
  </si>
  <si>
    <t>KUNSTWERKDEEL</t>
  </si>
  <si>
    <t>Kunstwerkdeel waarop de zaak betrekking heeft.</t>
  </si>
  <si>
    <t>LIGPLAATS</t>
  </si>
  <si>
    <t>Ligplaats waarop de zaak betrekking heeft.</t>
  </si>
  <si>
    <t>LOCATIE</t>
  </si>
  <si>
    <t>De geografische locatie waarop de zaak betrekking heeft indien deze niet geduid kan worden met een of één handhavingsobject.</t>
  </si>
  <si>
    <t>MAATSCHAPPELIJKE ACTIVITEIT</t>
  </si>
  <si>
    <t>Maatschappelijke activiteit waarop de zaak betrekking heeft.</t>
  </si>
  <si>
    <t>MEDEWERKER</t>
  </si>
  <si>
    <t>Medewerker waarop de zaak betrekking heeft.</t>
  </si>
  <si>
    <t>NIET-INGEZETENE</t>
  </si>
  <si>
    <t>Niet-ingezetene waarop de zaak betrekking heeft.</t>
  </si>
  <si>
    <t>NUMMER­AANDUIDING</t>
  </si>
  <si>
    <t>Nummeraanduiding waarop de zaak betrekking heeft.</t>
  </si>
  <si>
    <t>OPENBARE RUIMTE</t>
  </si>
  <si>
    <t>Openbare ruimte waarop de zaak betrekking heeft.</t>
  </si>
  <si>
    <t>ORGANISATORISCHE EENHEID</t>
  </si>
  <si>
    <t>Organisatorische eenheid waarop de zaak betrekking heeft.</t>
  </si>
  <si>
    <t>OVERIGE ADRESSEERBAAR OBJECT AANDUIDING</t>
  </si>
  <si>
    <t>Overige adresseerbaar object aanduiding waarop de zaak betrekking heeft.</t>
  </si>
  <si>
    <t>OVERIG GEBOUWD OBJECT</t>
  </si>
  <si>
    <t>Overig gebouwd object waarop de zaak betrekking heeft.</t>
  </si>
  <si>
    <t>OVERIG TERREIN</t>
  </si>
  <si>
    <t>Overig terrein waarop de zaak betrekking heeft.</t>
  </si>
  <si>
    <t>PAND</t>
  </si>
  <si>
    <t>Pand waarop de zaak betrekking heeft.</t>
  </si>
  <si>
    <t>SAMENGESTELD DOCUMENT</t>
  </si>
  <si>
    <t>Samengesteld informatieobject waarop de zaak betrekking heeft.</t>
  </si>
  <si>
    <t>SPOORBAANDEEL</t>
  </si>
  <si>
    <t>Spoorbaandeel waarop de zaak betrekking heeft.</t>
  </si>
  <si>
    <t>STANDPLAATS</t>
  </si>
  <si>
    <t>Standplaats waarop de zaak betrekking heeft.</t>
  </si>
  <si>
    <t>STATUS</t>
  </si>
  <si>
    <t>Status waarop de zaak betrekking heeft.</t>
  </si>
  <si>
    <t>TERREINDEEL</t>
  </si>
  <si>
    <t>Terreindeel waarop de zaak betrekking heeft.</t>
  </si>
  <si>
    <t>VERBLIJFSOBJECT</t>
  </si>
  <si>
    <t>Verblijfsobject waarop de zaak betrekking heeft.</t>
  </si>
  <si>
    <t>VESTIGING</t>
  </si>
  <si>
    <t>Vestiging waarop de zaak betrekking heeft.</t>
  </si>
  <si>
    <t>VTH-BEHEEROBJECT</t>
  </si>
  <si>
    <t>ja</t>
  </si>
  <si>
    <t>Het object (werk, verzameling werkzaamheden) waarop de zaak betrekking heeft en waarop, indien van toepassing, toezicht betrekking gaat hebben, voor zover hiervan een registratie is dan wel in die registratie wordt opgenomen.</t>
  </si>
  <si>
    <t>WATERDEEL</t>
  </si>
  <si>
    <t>Waterdeel waarop de zaak betrekking heeft.</t>
  </si>
  <si>
    <t>WEGDEEL</t>
  </si>
  <si>
    <t>Wegdeel waarop de zaak betrekking heeft.</t>
  </si>
  <si>
    <t>WIJK</t>
  </si>
  <si>
    <t>Wijk waarop de zaak betrekking heeft.</t>
  </si>
  <si>
    <t>WOONPLAATS</t>
  </si>
  <si>
    <t>Woonplaats waarop de zaak betrekking heeft.</t>
  </si>
  <si>
    <t>WOZ-DEELOBJECT</t>
  </si>
  <si>
    <t>WOZ-deelobject waarop de zaak betrekking heeft.</t>
  </si>
  <si>
    <t>WOZ-OBJECT</t>
  </si>
  <si>
    <t>WOZ-object waarop de zaak betrekking heeft.</t>
  </si>
  <si>
    <t>WOZ-WAARDE</t>
  </si>
  <si>
    <t>WOZ-waarde waarop de zaak betrekking heeft.</t>
  </si>
  <si>
    <t>ZAKELIJK RECHT</t>
  </si>
  <si>
    <t>Zakelijk recht waarop de zaak betrekking heeft.</t>
  </si>
  <si>
    <t>Naam</t>
  </si>
  <si>
    <t>Definitie</t>
  </si>
  <si>
    <t>Groep</t>
  </si>
  <si>
    <t>Formaat</t>
  </si>
  <si>
    <t>Lengte</t>
  </si>
  <si>
    <t>Kardinaliteit</t>
  </si>
  <si>
    <t>Waardenverzameling</t>
  </si>
  <si>
    <t>Bestuurlijk gevoelig</t>
  </si>
  <si>
    <t>De bestuurlijke gevoeligheid van de zaak.</t>
  </si>
  <si>
    <t>Tekst</t>
  </si>
  <si>
    <t>Projectnummer</t>
  </si>
  <si>
    <t>Uniek nummer van het project waarop de zaak betrekking heeft.</t>
  </si>
  <si>
    <t>Getal</t>
  </si>
  <si>
    <t>Zaken van één of meer zaaktypen kunnen met elkaar samenhangen zonder dat die samenhang blijkt uit de aan individuele zaken gerelateerde subjecten of objecten. Denk bijvoorbeeld aan de ontwikkeling van een nieuwbouwwijk of de aanleg van een (auto/spoor/water)weg (waarvoor vergunningen worden verleend, waarvoor meldingen worden gedaan, waarop toezicht wordt gehouden, en waar handhavend wordt opgetreden, et cetera). Door aan al deze zaken één projectnummer te verbinden, kunnen eenvoudig alle met dat project samenhangende zaken in beeld worden gebracht.</t>
  </si>
  <si>
    <t>Uitkomst</t>
  </si>
  <si>
    <t>De uitkomst van de behandeling van het verzoek om voorlopige voorziening.</t>
  </si>
  <si>
    <t>Zittingsdatum</t>
  </si>
  <si>
    <t>De datum en het tijdstip van de zitting waarin het verweer gevoerd moet worden.</t>
  </si>
  <si>
    <t>Datum/Tijd (jjjjmmdduummss)</t>
  </si>
  <si>
    <t>Volgnummer</t>
  </si>
  <si>
    <t>Richting</t>
  </si>
  <si>
    <t>Informatieobjecttype</t>
  </si>
  <si>
    <t>Inkomend</t>
  </si>
  <si>
    <t>Verzoek aanvullende stukken</t>
  </si>
  <si>
    <t>Uitgaand</t>
  </si>
  <si>
    <t>Ontvangstbevestiging</t>
  </si>
  <si>
    <t>Bericht ander bevoegd gezag</t>
  </si>
  <si>
    <t>Melding overgang bevoegdheid</t>
  </si>
  <si>
    <t>Intern</t>
  </si>
  <si>
    <t>Aanvullend stuk</t>
  </si>
  <si>
    <t>Adviesaanvraag</t>
  </si>
  <si>
    <t>Advies</t>
  </si>
  <si>
    <t>Verweerschrift</t>
  </si>
  <si>
    <t>Uitnodiging zitting</t>
  </si>
  <si>
    <t>Pleitnota</t>
  </si>
  <si>
    <t>Machtiging voor vertegenwoordiging</t>
  </si>
  <si>
    <t>Beslissing op verzoek</t>
  </si>
  <si>
    <t>Bericht van intrekking</t>
  </si>
  <si>
    <t>Bevestiging van intrekking</t>
  </si>
  <si>
    <t>Procesverantwoording</t>
  </si>
  <si>
    <t>Besluittype</t>
  </si>
  <si>
    <t>OMSCHRIJVING (2.1)</t>
  </si>
  <si>
    <t>BEVOEGD GEZAG</t>
  </si>
  <si>
    <t>OMSCHRIJVING GENERIEK</t>
  </si>
  <si>
    <t>OMSCHRIJVING (2.2)</t>
  </si>
  <si>
    <t>PROCESOBJECTAARD (2.2)</t>
  </si>
  <si>
    <t>INDICATIE SPECIFIEK (2.2)</t>
  </si>
  <si>
    <t>SELECTIELIJST-KLASSE</t>
  </si>
  <si>
    <t>ARCHIEFNOMINATIE</t>
  </si>
  <si>
    <t>PROCES-TERMIJN</t>
  </si>
  <si>
    <t>ARCHIEF-ACTIETERMIJN (mnd)</t>
  </si>
  <si>
    <t>BRONDATUM ARCHIEFPROCEDURE (2.1)</t>
  </si>
  <si>
    <t>BRONDAT.  ARCH.PROC. (2.2) AFLEIDINGSWIJZE</t>
  </si>
  <si>
    <t>BRONDAT.  ARCH.PROC. (2.2) DATUMKENMERK</t>
  </si>
  <si>
    <t>BRONDAT.  ARCH.PROC. (2.2) EINDDATUM BEKEND</t>
  </si>
  <si>
    <t>BRONDAT.  ARCH.PROC. (2.2) OBJECTTYPE</t>
  </si>
  <si>
    <t>BRONDAT.  ARCH.PROC. (2.2) REGISTRATIE</t>
  </si>
  <si>
    <t>AFWIJKEND ARCHIEFREGIME VAN ZAAK-INFORMATIEOBJECTTYPEN</t>
  </si>
  <si>
    <t>VERPLICHTE ZAAKOBJECTTYPEN</t>
  </si>
  <si>
    <t>VERPLICHTE INFORMATIEOBJECTTYPEN</t>
  </si>
  <si>
    <t>LEIDT TOT BESLUITTYPE</t>
  </si>
  <si>
    <t>Afgebroken</t>
  </si>
  <si>
    <t>gem</t>
  </si>
  <si>
    <t>13.2</t>
  </si>
  <si>
    <t>Vernietigen</t>
  </si>
  <si>
    <t>Afgehandeld</t>
  </si>
  <si>
    <t>Bericht van intrekking
Bevestiging van intrekking</t>
  </si>
  <si>
    <t>Niet ontvankelijk</t>
  </si>
  <si>
    <t>13.1.4</t>
  </si>
  <si>
    <t>De rechtsprekende instantie heeft de voorlopige voorziening niet ontvankelijk verklaard.</t>
  </si>
  <si>
    <t>Ingetrokken</t>
  </si>
  <si>
    <t>Toegekend</t>
  </si>
  <si>
    <t>13.1</t>
  </si>
  <si>
    <t>De voorzieningenrechter van de rechtsprekende instantie heeft uitspraak gedaan in onderhavige zaak.</t>
  </si>
  <si>
    <t>Toegekend - bewaren</t>
  </si>
  <si>
    <t>besluit in te bewaren zaak.</t>
  </si>
  <si>
    <t>13.1.3</t>
  </si>
  <si>
    <t>Blijvend bewaren</t>
  </si>
  <si>
    <t>De voorzieningenrechter van de rechtsprekende instantie heeft uitspraak gedaan in onderhavige zaak. De uitspraak heeft betrekking op een besluit dat is genomen in een te bewaren zaak.</t>
  </si>
  <si>
    <t>Toegekend - financ.</t>
  </si>
  <si>
    <t>besluit met financiële consequenties</t>
  </si>
  <si>
    <t>13.1.1</t>
  </si>
  <si>
    <t>De voorzieningenrechter van de rechtsprekende instantie heeft uitspraak gedaan in onderhavige zaak. 
Het afhandelen van een geschil dat door een derde aanhangig wordt gemaakt omdat deze een (vermeend) nadeel heeft ondervonden door het (niet) handelen van de instelling</t>
  </si>
  <si>
    <t>Geweigerd</t>
  </si>
  <si>
    <t>Geweigerd - financ.</t>
  </si>
  <si>
    <t>Afgehandeld met precedentwerking</t>
  </si>
  <si>
    <t>ws</t>
  </si>
  <si>
    <t>3.5.2</t>
  </si>
  <si>
    <t>Afgehandeld zonder precedentwerking</t>
  </si>
  <si>
    <t>0.0</t>
  </si>
  <si>
    <t>DEELZAAKTYPE</t>
  </si>
  <si>
    <t>GERELATEERD ZAAKTYPE</t>
  </si>
  <si>
    <t>AARD RELATIE</t>
  </si>
  <si>
    <t>10 - Aanvraag beschikking regulier behandelen</t>
  </si>
  <si>
    <t>Onderwerp</t>
  </si>
  <si>
    <t>De zaak van het zaaktype 'Aanvraag beschikking regulier behandelen' waarin het bestreden besluit is genomen waarop het verzoek in onderhavige zaak betrekking heeft. De werking van het bestreden besluit wordt geschorst, ten minste tot de voorzieningenrechter uitspraak heeft gedaan in onderhavige zaak; afhankelijk van de uitspraak van de voorzieningenrechter kan deze schorsing voortduren tot uitspraak is gedaan in de bezwaar- of (hoger) beroepzaak waarin de inhoudelijke behandeling van het geschil plaatsvindt.</t>
  </si>
  <si>
    <t>11 - Aanvraag beschikking uitgebreid behandelen</t>
  </si>
  <si>
    <t>De zaak van het zaaktype 'Aanvraag beschikking uitgebreid behandelen' waarin het bestreden besluit is genomen waarop het verzoek in onderhavige zaak betrekking heeft. De werking van het bestreden besluit wordt geschorst, ten minste tot de voorzieningenrechter uitspraak heeft gedaan in onderhavige zaak; afhankelijk van de uitspraak van de voorzieningenrechter kan deze schorsing voortduren tot uitspraak is gedaan in de bezwaar- of (hoger) beroepzaak waarin de inhoudelijke behandeling van het geschil plaatsvindt.</t>
  </si>
  <si>
    <t>8 - Last onder dwangsom ten uitvoer leggen</t>
  </si>
  <si>
    <t>De zaak van het zaaktype 'Last onder dwangsom ten uitvoer leggen' waarin het bestreden besluit is genomen waarop het verzoek in onderhavige zaak betrekking heeft. De werking van het bestreden besluit wordt geschorst, ten minste tot de voorzieningenrechter uitspraak heeft gedaan in onderhavige zaak; afhankelijk van de uitspraak van de voorzieningenrechter kan deze schorsing voortduren tot uitspraak is gedaan in de bezwaar- of (hoger) beroepzaak waarin de inhoudelijke behandeling van het geschil plaatsvindt.</t>
  </si>
  <si>
    <t>5 - Handhavingsbesluit nemen</t>
  </si>
  <si>
    <t>De zaak van het zaaktype 'Handhavingsbesluit nemen' waarin het bestreden besluit is genomen waarop het verzoek in onderhavige zaak betrekking heeft. De werking van het bestreden besluit wordt geschorst, ten minste tot de voorzieningenrechter uitspraak heeft gedaan in onderhavige zaak; afhankelijk van de uitspraak van de voorzieningenrechter kan deze schorsing voortduren tot uitspraak is gedaan in de bezwaar- of (hoger) beroepzaak waarin de inhoudelijke behandeling van het geschil plaatsvindt.</t>
  </si>
  <si>
    <t>16 - Bezwaar behandelen</t>
  </si>
  <si>
    <t>De zaak van het zaaktype 'Bezwaar behandelen' waarin het het geschil over het bestreden besluit waarop het verzoek om voorlopige voorziening ziet, inhoudelijk wordt behandeld.</t>
  </si>
  <si>
    <t>13 - Beroep behandelen</t>
  </si>
  <si>
    <t>De zaak van het zaaktype 'Beroep behandelen' (beroep òf hoger beroep) waarin het het geschil over het bestreden besluit waarop het verzoek om voorlopige voorziening ziet, inhoudelijk wordt behandeld.</t>
  </si>
  <si>
    <t>6 - Handhavingsverzoek behandelen</t>
  </si>
  <si>
    <t>De zaak van het zaaktype 'Handhavingsverzoek behandelen' waarin het bestreden besluit is genomen waarop het verzoek in onderhavige zaak betrekking heeft. De werking van het bestreden besluit wordt geschorst, ten minste tot de voorzieningenrechter uitspraak heeft gedaan in onderhavige zaak; afhankelijk van de uitspraak van de voorzieningenrechter kan deze schorsing voortduren tot uitspraak is gedaan in de bezwaar- of (hoger) beroepzaak waarin de inhoudelijke behandeling van het geschil plaatsvindt.</t>
  </si>
  <si>
    <t>3 - Last onder bestuursdwang ten uitvoer leggen</t>
  </si>
  <si>
    <t>De zaak van het zaaktype 'Last onder bestuursdwang ten uitvoer leggen' waarin het bestreden besluit is genomen waarop het verzoek in onderhavige zaak betrekking heeft. De werking van het bestreden besluit wordt geschorst, ten minste tot de voorzieningenrechter uitspraak heeft gedaan in onderhavige zaak; afhankelijk van de uitspraak van de voorzieningenrechter kan deze schorsing voortduren tot uitspraak is gedaan in de bezwaar- of (hoger) beroepzaak waarin de inhoudelijke behandeling van het geschil plaatsvindt.</t>
  </si>
  <si>
    <t>20 - Bezwaar behandelen zonder bezwaarcommissie</t>
  </si>
  <si>
    <t>De zaak van het zaaktype 'Bezwaar behandelen zonder bezwaarcommissie' waarin het het geschil over het bestreden besluit waarop het verzoek om voorlopige voorziening ziet, inhoudelijk wordt behandeld.</t>
  </si>
  <si>
    <t xml:space="preserve">De voorlopige voorziening is afgebroken. Deze is foutief ingeboekt of de voorzieningenrechter van de rechtsprekende instantie is onbevoegd. </t>
  </si>
  <si>
    <t>De indiener heeft de voorlopige voorziening ingetrokken.</t>
  </si>
  <si>
    <t>Juridisch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</si>
</sst>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Liberation Sans"/>
      <family val="2"/>
    </font>
    <font>
      <sz val="11"/>
      <color theme="1"/>
      <name val="Liberation Sans"/>
      <family val="2"/>
    </font>
    <font>
      <b/>
      <sz val="10"/>
      <color rgb="FF000000"/>
      <name val="Liberation Sans"/>
      <family val="2"/>
    </font>
    <font>
      <sz val="10"/>
      <color rgb="FFFFFFFF"/>
      <name val="Liberation Sans"/>
      <family val="2"/>
    </font>
    <font>
      <sz val="10"/>
      <color rgb="FFCC0000"/>
      <name val="Liberation Sans"/>
      <family val="2"/>
    </font>
    <font>
      <b/>
      <sz val="10"/>
      <color rgb="FFFFFFFF"/>
      <name val="Liberation Sans"/>
      <family val="2"/>
    </font>
    <font>
      <i/>
      <sz val="10"/>
      <color rgb="FF808080"/>
      <name val="Liberation Sans"/>
      <family val="2"/>
    </font>
    <font>
      <sz val="10"/>
      <color rgb="FF006600"/>
      <name val="Liberation Sans"/>
      <family val="2"/>
    </font>
    <font>
      <b/>
      <sz val="24"/>
      <color rgb="FF000000"/>
      <name val="Liberation Sans"/>
      <family val="2"/>
    </font>
    <font>
      <sz val="18"/>
      <color rgb="FF000000"/>
      <name val="Liberation Sans"/>
      <family val="2"/>
    </font>
    <font>
      <sz val="12"/>
      <color rgb="FF000000"/>
      <name val="Liberation Sans"/>
      <family val="2"/>
    </font>
    <font>
      <u/>
      <sz val="10"/>
      <color rgb="FF0000EE"/>
      <name val="Liberation Sans"/>
      <family val="2"/>
    </font>
    <font>
      <sz val="10"/>
      <color rgb="FF996600"/>
      <name val="Liberation Sans"/>
      <family val="2"/>
    </font>
    <font>
      <sz val="10"/>
      <color rgb="FF333333"/>
      <name val="Liberation Sans"/>
      <family val="2"/>
    </font>
    <font>
      <b/>
      <i/>
      <u/>
      <sz val="10"/>
      <color rgb="FF000000"/>
      <name val="Liberation Sans"/>
      <family val="2"/>
    </font>
    <font>
      <sz val="10"/>
      <color theme="1"/>
      <name val="Arial"/>
      <family val="2"/>
    </font>
    <font>
      <b/>
      <sz val="10"/>
      <color theme="1"/>
      <name val="Arial"/>
      <family val="2"/>
    </font>
    <font>
      <sz val="8"/>
      <name val="Liberation Sans"/>
      <family val="2"/>
    </font>
    <font>
      <sz val="10"/>
      <name val="Arial"/>
      <family val="2"/>
    </font>
    <font>
      <b/>
      <sz val="10"/>
      <name val="Arial"/>
      <family val="2"/>
    </font>
  </fonts>
  <fills count="9">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3">
    <border>
      <left/>
      <right/>
      <top/>
      <bottom/>
      <diagonal/>
    </border>
    <border>
      <left style="thin">
        <color rgb="FF808080"/>
      </left>
      <right style="thin">
        <color rgb="FF808080"/>
      </right>
      <top style="thin">
        <color rgb="FF808080"/>
      </top>
      <bottom style="thin">
        <color rgb="FF808080"/>
      </bottom>
      <diagonal/>
    </border>
    <border>
      <left/>
      <right/>
      <top/>
      <bottom style="thin">
        <color indexed="64"/>
      </bottom>
      <diagonal/>
    </border>
  </borders>
  <cellStyleXfs count="19">
    <xf numFmtId="0" fontId="0" fillId="0" borderId="0"/>
    <xf numFmtId="0" fontId="2" fillId="0" borderId="0"/>
    <xf numFmtId="0" fontId="3" fillId="2" borderId="0"/>
    <xf numFmtId="0" fontId="3" fillId="3" borderId="0"/>
    <xf numFmtId="0" fontId="2" fillId="4" borderId="0"/>
    <xf numFmtId="0" fontId="4" fillId="5" borderId="0"/>
    <xf numFmtId="0" fontId="5" fillId="6" borderId="0"/>
    <xf numFmtId="0" fontId="6" fillId="0" borderId="0"/>
    <xf numFmtId="0" fontId="7" fillId="7" borderId="0"/>
    <xf numFmtId="0" fontId="8" fillId="0" borderId="0"/>
    <xf numFmtId="0" fontId="9" fillId="0" borderId="0"/>
    <xf numFmtId="0" fontId="10" fillId="0" borderId="0"/>
    <xf numFmtId="0" fontId="11" fillId="0" borderId="0"/>
    <xf numFmtId="0" fontId="12" fillId="8" borderId="0"/>
    <xf numFmtId="0" fontId="13" fillId="8" borderId="1"/>
    <xf numFmtId="0" fontId="14" fillId="0" borderId="0"/>
    <xf numFmtId="0" fontId="1" fillId="0" borderId="0"/>
    <xf numFmtId="0" fontId="1" fillId="0" borderId="0"/>
    <xf numFmtId="0" fontId="4" fillId="0" borderId="0"/>
  </cellStyleXfs>
  <cellXfs count="25">
    <xf numFmtId="0" fontId="0" fillId="0" borderId="0" xfId="0"/>
    <xf numFmtId="0" fontId="15" fillId="0" borderId="0" xfId="0" applyFont="1" applyAlignment="1">
      <alignment horizontal="left" vertical="top" wrapText="1"/>
    </xf>
    <xf numFmtId="0" fontId="16" fillId="0" borderId="0" xfId="0" applyFont="1" applyAlignment="1">
      <alignment horizontal="left" vertical="top" wrapText="1"/>
    </xf>
    <xf numFmtId="0" fontId="18" fillId="0" borderId="0" xfId="0" applyFont="1" applyAlignment="1">
      <alignment horizontal="left" vertical="top"/>
    </xf>
    <xf numFmtId="0" fontId="19" fillId="0" borderId="0" xfId="0" applyFont="1" applyAlignment="1">
      <alignment horizontal="left" vertical="top" wrapText="1"/>
    </xf>
    <xf numFmtId="0" fontId="18" fillId="0" borderId="0" xfId="0" quotePrefix="1" applyFont="1" applyAlignment="1">
      <alignment horizontal="left" vertical="top" wrapText="1"/>
    </xf>
    <xf numFmtId="0" fontId="19" fillId="0" borderId="0" xfId="0" quotePrefix="1" applyFont="1" applyAlignment="1">
      <alignment horizontal="left" vertical="top" wrapText="1"/>
    </xf>
    <xf numFmtId="0" fontId="18" fillId="0" borderId="0" xfId="0" applyFont="1" applyAlignment="1">
      <alignment horizontal="left" vertical="top" wrapText="1"/>
    </xf>
    <xf numFmtId="14" fontId="18" fillId="0" borderId="0" xfId="0" applyNumberFormat="1" applyFont="1" applyAlignment="1">
      <alignment horizontal="left" vertical="top" wrapText="1"/>
    </xf>
    <xf numFmtId="0" fontId="19" fillId="0" borderId="0" xfId="0" applyFont="1" applyAlignment="1">
      <alignment vertical="top"/>
    </xf>
    <xf numFmtId="0" fontId="18" fillId="0" borderId="0" xfId="0" applyFont="1" applyAlignment="1">
      <alignment vertical="top" wrapText="1"/>
    </xf>
    <xf numFmtId="0" fontId="19" fillId="0" borderId="0" xfId="0" applyFont="1" applyAlignment="1">
      <alignment horizontal="left" vertical="top"/>
    </xf>
    <xf numFmtId="0" fontId="18" fillId="0" borderId="0" xfId="0" applyFont="1"/>
    <xf numFmtId="0" fontId="18" fillId="0" borderId="0" xfId="0" applyFont="1" applyAlignment="1">
      <alignment wrapText="1"/>
    </xf>
    <xf numFmtId="0" fontId="15" fillId="0" borderId="0" xfId="0" applyFont="1"/>
    <xf numFmtId="0" fontId="16" fillId="0" borderId="0" xfId="0" applyFont="1" applyAlignment="1">
      <alignment horizontal="left" vertical="top"/>
    </xf>
    <xf numFmtId="0" fontId="16" fillId="0" borderId="0" xfId="0" applyFont="1" applyAlignment="1">
      <alignment vertical="top"/>
    </xf>
    <xf numFmtId="0" fontId="15" fillId="0" borderId="0" xfId="0" applyFont="1" applyAlignment="1">
      <alignment vertical="top" wrapText="1"/>
    </xf>
    <xf numFmtId="0" fontId="15" fillId="0" borderId="0" xfId="0" applyFont="1" applyAlignment="1">
      <alignment vertical="top"/>
    </xf>
    <xf numFmtId="0" fontId="16" fillId="0" borderId="0" xfId="0" applyFont="1" applyAlignment="1">
      <alignment vertical="top" wrapText="1"/>
    </xf>
    <xf numFmtId="0" fontId="19" fillId="0" borderId="0" xfId="0" applyFont="1"/>
    <xf numFmtId="0" fontId="18" fillId="0" borderId="2" xfId="0" applyFont="1" applyBorder="1" applyAlignment="1">
      <alignment vertical="top" wrapText="1"/>
    </xf>
    <xf numFmtId="0" fontId="18" fillId="0" borderId="0" xfId="0" applyFont="1" applyAlignment="1">
      <alignment vertical="top"/>
    </xf>
    <xf numFmtId="0" fontId="19" fillId="0" borderId="2" xfId="0" applyFont="1" applyBorder="1" applyAlignment="1">
      <alignment vertical="top"/>
    </xf>
    <xf numFmtId="0" fontId="19" fillId="0" borderId="0" xfId="0" applyFont="1" applyAlignment="1">
      <alignment vertical="top" wrapText="1"/>
    </xf>
  </cellXfs>
  <cellStyles count="19">
    <cellStyle name="Accent" xfId="1" xr:uid="{00000000-0005-0000-0000-000000000000}"/>
    <cellStyle name="Accent 1" xfId="2" xr:uid="{00000000-0005-0000-0000-000001000000}"/>
    <cellStyle name="Accent 2" xfId="3" xr:uid="{00000000-0005-0000-0000-000002000000}"/>
    <cellStyle name="Accent 3" xfId="4" xr:uid="{00000000-0005-0000-0000-000003000000}"/>
    <cellStyle name="Bad" xfId="5" xr:uid="{00000000-0005-0000-0000-000004000000}"/>
    <cellStyle name="Error" xfId="6" xr:uid="{00000000-0005-0000-0000-000005000000}"/>
    <cellStyle name="Footnote" xfId="7" xr:uid="{00000000-0005-0000-0000-000006000000}"/>
    <cellStyle name="Good" xfId="8" xr:uid="{00000000-0005-0000-0000-000007000000}"/>
    <cellStyle name="Heading (user)" xfId="9" xr:uid="{00000000-0005-0000-0000-000008000000}"/>
    <cellStyle name="Heading 1" xfId="10" xr:uid="{00000000-0005-0000-0000-000009000000}"/>
    <cellStyle name="Heading 2" xfId="11" xr:uid="{00000000-0005-0000-0000-00000A000000}"/>
    <cellStyle name="Hyperlink" xfId="12" xr:uid="{00000000-0005-0000-0000-00000B000000}"/>
    <cellStyle name="Neutral" xfId="13" xr:uid="{00000000-0005-0000-0000-00000C000000}"/>
    <cellStyle name="Note" xfId="14" xr:uid="{00000000-0005-0000-0000-00000D000000}"/>
    <cellStyle name="Result (user)" xfId="15" xr:uid="{00000000-0005-0000-0000-00000E000000}"/>
    <cellStyle name="Standaard" xfId="0" builtinId="0" customBuiltin="1"/>
    <cellStyle name="Status" xfId="16" xr:uid="{00000000-0005-0000-0000-000010000000}"/>
    <cellStyle name="Text" xfId="17" xr:uid="{00000000-0005-0000-0000-000011000000}"/>
    <cellStyle name="Warning" xfId="18"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AMJ44"/>
  <sheetViews>
    <sheetView tabSelected="1" workbookViewId="0">
      <pane xSplit="1" ySplit="1" topLeftCell="B2" activePane="bottomRight" state="frozen"/>
      <selection pane="topRight" activeCell="B3" sqref="B3"/>
      <selection pane="bottomLeft" activeCell="B3" sqref="B3"/>
      <selection pane="bottomRight" activeCell="B4" sqref="B4"/>
    </sheetView>
  </sheetViews>
  <sheetFormatPr defaultColWidth="8.75" defaultRowHeight="12.75" x14ac:dyDescent="0.2"/>
  <cols>
    <col min="1" max="1" width="48.625" style="4" customWidth="1"/>
    <col min="2" max="1024" width="72.25" style="7" customWidth="1"/>
    <col min="1025" max="16384" width="8.75" style="13"/>
  </cols>
  <sheetData>
    <row r="1" spans="1:1024" s="12" customFormat="1" x14ac:dyDescent="0.2">
      <c r="A1" s="11" t="s">
        <v>0</v>
      </c>
      <c r="B1" s="11"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c r="ABX1" s="3"/>
      <c r="ABY1" s="3"/>
      <c r="ABZ1" s="3"/>
      <c r="ACA1" s="3"/>
      <c r="ACB1" s="3"/>
      <c r="ACC1" s="3"/>
      <c r="ACD1" s="3"/>
      <c r="ACE1" s="3"/>
      <c r="ACF1" s="3"/>
      <c r="ACG1" s="3"/>
      <c r="ACH1" s="3"/>
      <c r="ACI1" s="3"/>
      <c r="ACJ1" s="3"/>
      <c r="ACK1" s="3"/>
      <c r="ACL1" s="3"/>
      <c r="ACM1" s="3"/>
      <c r="ACN1" s="3"/>
      <c r="ACO1" s="3"/>
      <c r="ACP1" s="3"/>
      <c r="ACQ1" s="3"/>
      <c r="ACR1" s="3"/>
      <c r="ACS1" s="3"/>
      <c r="ACT1" s="3"/>
      <c r="ACU1" s="3"/>
      <c r="ACV1" s="3"/>
      <c r="ACW1" s="3"/>
      <c r="ACX1" s="3"/>
      <c r="ACY1" s="3"/>
      <c r="ACZ1" s="3"/>
      <c r="ADA1" s="3"/>
      <c r="ADB1" s="3"/>
      <c r="ADC1" s="3"/>
      <c r="ADD1" s="3"/>
      <c r="ADE1" s="3"/>
      <c r="ADF1" s="3"/>
      <c r="ADG1" s="3"/>
      <c r="ADH1" s="3"/>
      <c r="ADI1" s="3"/>
      <c r="ADJ1" s="3"/>
      <c r="ADK1" s="3"/>
      <c r="ADL1" s="3"/>
      <c r="ADM1" s="3"/>
      <c r="ADN1" s="3"/>
      <c r="ADO1" s="3"/>
      <c r="ADP1" s="3"/>
      <c r="ADQ1" s="3"/>
      <c r="ADR1" s="3"/>
      <c r="ADS1" s="3"/>
      <c r="ADT1" s="3"/>
      <c r="ADU1" s="3"/>
      <c r="ADV1" s="3"/>
      <c r="ADW1" s="3"/>
      <c r="ADX1" s="3"/>
      <c r="ADY1" s="3"/>
      <c r="ADZ1" s="3"/>
      <c r="AEA1" s="3"/>
      <c r="AEB1" s="3"/>
      <c r="AEC1" s="3"/>
      <c r="AED1" s="3"/>
      <c r="AEE1" s="3"/>
      <c r="AEF1" s="3"/>
      <c r="AEG1" s="3"/>
      <c r="AEH1" s="3"/>
      <c r="AEI1" s="3"/>
      <c r="AEJ1" s="3"/>
      <c r="AEK1" s="3"/>
      <c r="AEL1" s="3"/>
      <c r="AEM1" s="3"/>
      <c r="AEN1" s="3"/>
      <c r="AEO1" s="3"/>
      <c r="AEP1" s="3"/>
      <c r="AEQ1" s="3"/>
      <c r="AER1" s="3"/>
      <c r="AES1" s="3"/>
      <c r="AET1" s="3"/>
      <c r="AEU1" s="3"/>
      <c r="AEV1" s="3"/>
      <c r="AEW1" s="3"/>
      <c r="AEX1" s="3"/>
      <c r="AEY1" s="3"/>
      <c r="AEZ1" s="3"/>
      <c r="AFA1" s="3"/>
      <c r="AFB1" s="3"/>
      <c r="AFC1" s="3"/>
      <c r="AFD1" s="3"/>
      <c r="AFE1" s="3"/>
      <c r="AFF1" s="3"/>
      <c r="AFG1" s="3"/>
      <c r="AFH1" s="3"/>
      <c r="AFI1" s="3"/>
      <c r="AFJ1" s="3"/>
      <c r="AFK1" s="3"/>
      <c r="AFL1" s="3"/>
      <c r="AFM1" s="3"/>
      <c r="AFN1" s="3"/>
      <c r="AFO1" s="3"/>
      <c r="AFP1" s="3"/>
      <c r="AFQ1" s="3"/>
      <c r="AFR1" s="3"/>
      <c r="AFS1" s="3"/>
      <c r="AFT1" s="3"/>
      <c r="AFU1" s="3"/>
      <c r="AFV1" s="3"/>
      <c r="AFW1" s="3"/>
      <c r="AFX1" s="3"/>
      <c r="AFY1" s="3"/>
      <c r="AFZ1" s="3"/>
      <c r="AGA1" s="3"/>
      <c r="AGB1" s="3"/>
      <c r="AGC1" s="3"/>
      <c r="AGD1" s="3"/>
      <c r="AGE1" s="3"/>
      <c r="AGF1" s="3"/>
      <c r="AGG1" s="3"/>
      <c r="AGH1" s="3"/>
      <c r="AGI1" s="3"/>
      <c r="AGJ1" s="3"/>
      <c r="AGK1" s="3"/>
      <c r="AGL1" s="3"/>
      <c r="AGM1" s="3"/>
      <c r="AGN1" s="3"/>
      <c r="AGO1" s="3"/>
      <c r="AGP1" s="3"/>
      <c r="AGQ1" s="3"/>
      <c r="AGR1" s="3"/>
      <c r="AGS1" s="3"/>
      <c r="AGT1" s="3"/>
      <c r="AGU1" s="3"/>
      <c r="AGV1" s="3"/>
      <c r="AGW1" s="3"/>
      <c r="AGX1" s="3"/>
      <c r="AGY1" s="3"/>
      <c r="AGZ1" s="3"/>
      <c r="AHA1" s="3"/>
      <c r="AHB1" s="3"/>
      <c r="AHC1" s="3"/>
      <c r="AHD1" s="3"/>
      <c r="AHE1" s="3"/>
      <c r="AHF1" s="3"/>
      <c r="AHG1" s="3"/>
      <c r="AHH1" s="3"/>
      <c r="AHI1" s="3"/>
      <c r="AHJ1" s="3"/>
      <c r="AHK1" s="3"/>
      <c r="AHL1" s="3"/>
      <c r="AHM1" s="3"/>
      <c r="AHN1" s="3"/>
      <c r="AHO1" s="3"/>
      <c r="AHP1" s="3"/>
      <c r="AHQ1" s="3"/>
      <c r="AHR1" s="3"/>
      <c r="AHS1" s="3"/>
      <c r="AHT1" s="3"/>
      <c r="AHU1" s="3"/>
      <c r="AHV1" s="3"/>
      <c r="AHW1" s="3"/>
      <c r="AHX1" s="3"/>
      <c r="AHY1" s="3"/>
      <c r="AHZ1" s="3"/>
      <c r="AIA1" s="3"/>
      <c r="AIB1" s="3"/>
      <c r="AIC1" s="3"/>
      <c r="AID1" s="3"/>
      <c r="AIE1" s="3"/>
      <c r="AIF1" s="3"/>
      <c r="AIG1" s="3"/>
      <c r="AIH1" s="3"/>
      <c r="AII1" s="3"/>
      <c r="AIJ1" s="3"/>
      <c r="AIK1" s="3"/>
      <c r="AIL1" s="3"/>
      <c r="AIM1" s="3"/>
      <c r="AIN1" s="3"/>
      <c r="AIO1" s="3"/>
      <c r="AIP1" s="3"/>
      <c r="AIQ1" s="3"/>
      <c r="AIR1" s="3"/>
      <c r="AIS1" s="3"/>
      <c r="AIT1" s="3"/>
      <c r="AIU1" s="3"/>
      <c r="AIV1" s="3"/>
      <c r="AIW1" s="3"/>
      <c r="AIX1" s="3"/>
      <c r="AIY1" s="3"/>
      <c r="AIZ1" s="3"/>
      <c r="AJA1" s="3"/>
      <c r="AJB1" s="3"/>
      <c r="AJC1" s="3"/>
      <c r="AJD1" s="3"/>
      <c r="AJE1" s="3"/>
      <c r="AJF1" s="3"/>
      <c r="AJG1" s="3"/>
      <c r="AJH1" s="3"/>
      <c r="AJI1" s="3"/>
      <c r="AJJ1" s="3"/>
      <c r="AJK1" s="3"/>
      <c r="AJL1" s="3"/>
      <c r="AJM1" s="3"/>
      <c r="AJN1" s="3"/>
      <c r="AJO1" s="3"/>
      <c r="AJP1" s="3"/>
      <c r="AJQ1" s="3"/>
      <c r="AJR1" s="3"/>
      <c r="AJS1" s="3"/>
      <c r="AJT1" s="3"/>
      <c r="AJU1" s="3"/>
      <c r="AJV1" s="3"/>
      <c r="AJW1" s="3"/>
      <c r="AJX1" s="3"/>
      <c r="AJY1" s="3"/>
      <c r="AJZ1" s="3"/>
      <c r="AKA1" s="3"/>
      <c r="AKB1" s="3"/>
      <c r="AKC1" s="3"/>
      <c r="AKD1" s="3"/>
      <c r="AKE1" s="3"/>
      <c r="AKF1" s="3"/>
      <c r="AKG1" s="3"/>
      <c r="AKH1" s="3"/>
      <c r="AKI1" s="3"/>
      <c r="AKJ1" s="3"/>
      <c r="AKK1" s="3"/>
      <c r="AKL1" s="3"/>
      <c r="AKM1" s="3"/>
      <c r="AKN1" s="3"/>
      <c r="AKO1" s="3"/>
      <c r="AKP1" s="3"/>
      <c r="AKQ1" s="3"/>
      <c r="AKR1" s="3"/>
      <c r="AKS1" s="3"/>
      <c r="AKT1" s="3"/>
      <c r="AKU1" s="3"/>
      <c r="AKV1" s="3"/>
      <c r="AKW1" s="3"/>
      <c r="AKX1" s="3"/>
      <c r="AKY1" s="3"/>
      <c r="AKZ1" s="3"/>
      <c r="ALA1" s="3"/>
      <c r="ALB1" s="3"/>
      <c r="ALC1" s="3"/>
      <c r="ALD1" s="3"/>
      <c r="ALE1" s="3"/>
      <c r="ALF1" s="3"/>
      <c r="ALG1" s="3"/>
      <c r="ALH1" s="3"/>
      <c r="ALI1" s="3"/>
      <c r="ALJ1" s="3"/>
      <c r="ALK1" s="3"/>
      <c r="ALL1" s="3"/>
      <c r="ALM1" s="3"/>
      <c r="ALN1" s="3"/>
      <c r="ALO1" s="3"/>
      <c r="ALP1" s="3"/>
      <c r="ALQ1" s="3"/>
      <c r="ALR1" s="3"/>
      <c r="ALS1" s="3"/>
      <c r="ALT1" s="3"/>
      <c r="ALU1" s="3"/>
      <c r="ALV1" s="3"/>
      <c r="ALW1" s="3"/>
      <c r="ALX1" s="3"/>
      <c r="ALY1" s="3"/>
      <c r="ALZ1" s="3"/>
      <c r="AMA1" s="3"/>
      <c r="AMB1" s="3"/>
      <c r="AMC1" s="3"/>
      <c r="AMD1" s="3"/>
      <c r="AME1" s="3"/>
      <c r="AMF1" s="3"/>
      <c r="AMG1" s="3"/>
      <c r="AMH1" s="3"/>
      <c r="AMI1" s="3"/>
      <c r="AMJ1" s="3"/>
    </row>
    <row r="2" spans="1:1024" x14ac:dyDescent="0.2">
      <c r="A2" s="4" t="s">
        <v>2</v>
      </c>
      <c r="B2" s="4">
        <v>14</v>
      </c>
    </row>
    <row r="3" spans="1:1024" x14ac:dyDescent="0.2">
      <c r="A3" s="4" t="s">
        <v>3</v>
      </c>
      <c r="B3" s="4" t="s">
        <v>4</v>
      </c>
    </row>
    <row r="4" spans="1:1024" x14ac:dyDescent="0.2">
      <c r="A4" s="4" t="s">
        <v>5</v>
      </c>
      <c r="B4" s="7" t="s">
        <v>364</v>
      </c>
    </row>
    <row r="5" spans="1:1024" ht="38.25" x14ac:dyDescent="0.2">
      <c r="A5" s="4" t="s">
        <v>6</v>
      </c>
      <c r="B5" s="7" t="s">
        <v>7</v>
      </c>
    </row>
    <row r="6" spans="1:1024" ht="51" x14ac:dyDescent="0.2">
      <c r="A6" s="4" t="s">
        <v>8</v>
      </c>
      <c r="B6" s="7" t="s">
        <v>9</v>
      </c>
    </row>
    <row r="7" spans="1:1024" ht="114.75" x14ac:dyDescent="0.2">
      <c r="A7" s="4" t="s">
        <v>10</v>
      </c>
      <c r="B7" s="7" t="s">
        <v>11</v>
      </c>
    </row>
    <row r="8" spans="1:1024" x14ac:dyDescent="0.2">
      <c r="A8" s="4" t="s">
        <v>12</v>
      </c>
      <c r="B8" s="7" t="s">
        <v>13</v>
      </c>
    </row>
    <row r="9" spans="1:1024" x14ac:dyDescent="0.2">
      <c r="A9" s="4" t="s">
        <v>14</v>
      </c>
      <c r="B9" s="7" t="s">
        <v>15</v>
      </c>
    </row>
    <row r="10" spans="1:1024" x14ac:dyDescent="0.2">
      <c r="A10" s="4" t="s">
        <v>16</v>
      </c>
      <c r="B10" s="7" t="s">
        <v>17</v>
      </c>
    </row>
    <row r="11" spans="1:1024" x14ac:dyDescent="0.2">
      <c r="A11" s="4" t="s">
        <v>18</v>
      </c>
      <c r="B11" s="7" t="s">
        <v>19</v>
      </c>
    </row>
    <row r="12" spans="1:1024" x14ac:dyDescent="0.2">
      <c r="A12" s="4" t="s">
        <v>20</v>
      </c>
    </row>
    <row r="13" spans="1:1024" x14ac:dyDescent="0.2">
      <c r="A13" s="5" t="s">
        <v>21</v>
      </c>
    </row>
    <row r="14" spans="1:1024" x14ac:dyDescent="0.2">
      <c r="A14" s="5" t="s">
        <v>22</v>
      </c>
    </row>
    <row r="15" spans="1:1024" x14ac:dyDescent="0.2">
      <c r="A15" s="4" t="s">
        <v>23</v>
      </c>
    </row>
    <row r="16" spans="1:1024" x14ac:dyDescent="0.2">
      <c r="A16" s="5" t="s">
        <v>21</v>
      </c>
    </row>
    <row r="17" spans="1:2" x14ac:dyDescent="0.2">
      <c r="A17" s="5" t="s">
        <v>22</v>
      </c>
    </row>
    <row r="18" spans="1:2" x14ac:dyDescent="0.2">
      <c r="A18" s="4" t="s">
        <v>24</v>
      </c>
      <c r="B18" s="7" t="s">
        <v>25</v>
      </c>
    </row>
    <row r="19" spans="1:2" x14ac:dyDescent="0.2">
      <c r="A19" s="4" t="s">
        <v>26</v>
      </c>
      <c r="B19" s="7" t="s">
        <v>25</v>
      </c>
    </row>
    <row r="20" spans="1:2" x14ac:dyDescent="0.2">
      <c r="A20" s="4" t="s">
        <v>27</v>
      </c>
    </row>
    <row r="21" spans="1:2" x14ac:dyDescent="0.2">
      <c r="A21" s="4" t="s">
        <v>28</v>
      </c>
    </row>
    <row r="22" spans="1:2" x14ac:dyDescent="0.2">
      <c r="A22" s="4" t="s">
        <v>29</v>
      </c>
      <c r="B22" s="7" t="s">
        <v>30</v>
      </c>
    </row>
    <row r="23" spans="1:2" x14ac:dyDescent="0.2">
      <c r="A23" s="4" t="s">
        <v>31</v>
      </c>
    </row>
    <row r="24" spans="1:2" x14ac:dyDescent="0.2">
      <c r="A24" s="4" t="s">
        <v>32</v>
      </c>
      <c r="B24" s="7" t="s">
        <v>25</v>
      </c>
    </row>
    <row r="25" spans="1:2" x14ac:dyDescent="0.2">
      <c r="A25" s="4" t="s">
        <v>33</v>
      </c>
    </row>
    <row r="26" spans="1:2" x14ac:dyDescent="0.2">
      <c r="A26" s="4" t="s">
        <v>34</v>
      </c>
    </row>
    <row r="27" spans="1:2" x14ac:dyDescent="0.2">
      <c r="A27" s="6" t="s">
        <v>35</v>
      </c>
    </row>
    <row r="28" spans="1:2" x14ac:dyDescent="0.2">
      <c r="A28" s="6" t="s">
        <v>36</v>
      </c>
    </row>
    <row r="29" spans="1:2" x14ac:dyDescent="0.2">
      <c r="A29" s="6" t="s">
        <v>37</v>
      </c>
    </row>
    <row r="30" spans="1:2" x14ac:dyDescent="0.2">
      <c r="A30" s="6" t="s">
        <v>35</v>
      </c>
    </row>
    <row r="31" spans="1:2" x14ac:dyDescent="0.2">
      <c r="A31" s="6" t="s">
        <v>36</v>
      </c>
    </row>
    <row r="32" spans="1:2" x14ac:dyDescent="0.2">
      <c r="A32" s="7" t="s">
        <v>38</v>
      </c>
    </row>
    <row r="33" spans="1:2" x14ac:dyDescent="0.2">
      <c r="A33" s="7" t="s">
        <v>39</v>
      </c>
      <c r="B33" s="3"/>
    </row>
    <row r="34" spans="1:2" x14ac:dyDescent="0.2">
      <c r="A34" s="5" t="s">
        <v>40</v>
      </c>
      <c r="B34" s="3"/>
    </row>
    <row r="35" spans="1:2" x14ac:dyDescent="0.2">
      <c r="A35" s="6" t="s">
        <v>41</v>
      </c>
      <c r="B35" s="3"/>
    </row>
    <row r="36" spans="1:2" x14ac:dyDescent="0.2">
      <c r="A36" s="5" t="s">
        <v>42</v>
      </c>
      <c r="B36" s="3"/>
    </row>
    <row r="37" spans="1:2" x14ac:dyDescent="0.2">
      <c r="A37" s="5" t="s">
        <v>43</v>
      </c>
      <c r="B37" s="3"/>
    </row>
    <row r="38" spans="1:2" x14ac:dyDescent="0.2">
      <c r="A38" s="5" t="s">
        <v>35</v>
      </c>
      <c r="B38" s="3"/>
    </row>
    <row r="39" spans="1:2" x14ac:dyDescent="0.2">
      <c r="A39" s="5" t="s">
        <v>44</v>
      </c>
      <c r="B39" s="3"/>
    </row>
    <row r="40" spans="1:2" x14ac:dyDescent="0.2">
      <c r="A40" s="5" t="s">
        <v>45</v>
      </c>
      <c r="B40" s="3"/>
    </row>
    <row r="41" spans="1:2" x14ac:dyDescent="0.2">
      <c r="A41" s="5" t="s">
        <v>46</v>
      </c>
      <c r="B41" s="3"/>
    </row>
    <row r="42" spans="1:2" x14ac:dyDescent="0.2">
      <c r="A42" s="4" t="s">
        <v>47</v>
      </c>
      <c r="B42" s="8">
        <v>46009</v>
      </c>
    </row>
    <row r="43" spans="1:2" x14ac:dyDescent="0.2">
      <c r="A43" s="4" t="s">
        <v>48</v>
      </c>
      <c r="B43" s="8">
        <v>43800</v>
      </c>
    </row>
    <row r="44" spans="1:2" x14ac:dyDescent="0.2">
      <c r="A44" s="4" t="s">
        <v>49</v>
      </c>
    </row>
  </sheetData>
  <pageMargins left="0" right="0" top="0.39370078740157483" bottom="0.39370078740157483" header="0" footer="0"/>
  <pageSetup paperSize="9" orientation="portrait" r:id="rId1"/>
  <headerFooter>
    <oddHeader>&amp;C&amp;A</oddHeader>
    <oddFooter>&amp;CPagina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dimension ref="A1:AML7"/>
  <sheetViews>
    <sheetView workbookViewId="0">
      <pane xSplit="2" ySplit="2" topLeftCell="D3" activePane="bottomRight" state="frozen"/>
      <selection pane="topRight"/>
      <selection pane="bottomLeft"/>
      <selection pane="bottomRight"/>
    </sheetView>
  </sheetViews>
  <sheetFormatPr defaultColWidth="8.75" defaultRowHeight="12.75" x14ac:dyDescent="0.2"/>
  <cols>
    <col min="1" max="1" width="7" style="7" customWidth="1"/>
    <col min="2" max="2" width="23.125" style="7" customWidth="1"/>
    <col min="3" max="3" width="12.25" style="7" customWidth="1"/>
    <col min="4" max="4" width="14.25" style="7" customWidth="1"/>
    <col min="5" max="5" width="9.75" style="7" customWidth="1"/>
    <col min="6" max="6" width="23.125" style="7" customWidth="1"/>
    <col min="7" max="7" width="46.125" style="7" customWidth="1"/>
    <col min="8" max="10" width="26.25" style="7" customWidth="1"/>
    <col min="11" max="11" width="11.125" style="7" customWidth="1"/>
    <col min="12" max="1026" width="46.125" style="7" customWidth="1"/>
    <col min="1027" max="16384" width="8.75" style="13"/>
  </cols>
  <sheetData>
    <row r="1" spans="1:1026" s="20" customFormat="1" x14ac:dyDescent="0.2">
      <c r="A1" s="11" t="str">
        <f>CONCATENATE("Statustypen bij zaaktype ",Zaaktype!B2,": ",Zaaktype!B3)</f>
        <v>Statustypen bij zaaktype 14: Voorlopige voorziening behandelen</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1"/>
      <c r="IN1" s="11"/>
      <c r="IO1" s="11"/>
      <c r="IP1" s="11"/>
      <c r="IQ1" s="11"/>
      <c r="IR1" s="11"/>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1"/>
      <c r="KJ1" s="11"/>
      <c r="KK1" s="11"/>
      <c r="KL1" s="11"/>
      <c r="KM1" s="11"/>
      <c r="KN1" s="11"/>
      <c r="KO1" s="11"/>
      <c r="KP1" s="11"/>
      <c r="KQ1" s="11"/>
      <c r="KR1" s="11"/>
      <c r="KS1" s="11"/>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1"/>
      <c r="MF1" s="11"/>
      <c r="MG1" s="11"/>
      <c r="MH1" s="11"/>
      <c r="MI1" s="11"/>
      <c r="MJ1" s="11"/>
      <c r="MK1" s="11"/>
      <c r="ML1" s="11"/>
      <c r="MM1" s="11"/>
      <c r="MN1" s="11"/>
      <c r="MO1" s="11"/>
      <c r="MP1" s="11"/>
      <c r="MQ1" s="11"/>
      <c r="MR1" s="11"/>
      <c r="MS1" s="11"/>
      <c r="MT1" s="11"/>
      <c r="MU1" s="11"/>
      <c r="MV1" s="11"/>
      <c r="MW1" s="11"/>
      <c r="MX1" s="11"/>
      <c r="MY1" s="11"/>
      <c r="MZ1" s="11"/>
      <c r="NA1" s="11"/>
      <c r="NB1" s="11"/>
      <c r="NC1" s="11"/>
      <c r="ND1" s="11"/>
      <c r="NE1" s="11"/>
      <c r="NF1" s="11"/>
      <c r="NG1" s="11"/>
      <c r="NH1" s="11"/>
      <c r="NI1" s="11"/>
      <c r="NJ1" s="11"/>
      <c r="NK1" s="11"/>
      <c r="NL1" s="11"/>
      <c r="NM1" s="11"/>
      <c r="NN1" s="11"/>
      <c r="NO1" s="11"/>
      <c r="NP1" s="11"/>
      <c r="NQ1" s="11"/>
      <c r="NR1" s="11"/>
      <c r="NS1" s="11"/>
      <c r="NT1" s="11"/>
      <c r="NU1" s="11"/>
      <c r="NV1" s="11"/>
      <c r="NW1" s="11"/>
      <c r="NX1" s="11"/>
      <c r="NY1" s="11"/>
      <c r="NZ1" s="11"/>
      <c r="OA1" s="11"/>
      <c r="OB1" s="11"/>
      <c r="OC1" s="11"/>
      <c r="OD1" s="11"/>
      <c r="OE1" s="11"/>
      <c r="OF1" s="11"/>
      <c r="OG1" s="11"/>
      <c r="OH1" s="11"/>
      <c r="OI1" s="11"/>
      <c r="OJ1" s="11"/>
      <c r="OK1" s="11"/>
      <c r="OL1" s="11"/>
      <c r="OM1" s="11"/>
      <c r="ON1" s="11"/>
      <c r="OO1" s="11"/>
      <c r="OP1" s="11"/>
      <c r="OQ1" s="11"/>
      <c r="OR1" s="11"/>
      <c r="OS1" s="11"/>
      <c r="OT1" s="11"/>
      <c r="OU1" s="11"/>
      <c r="OV1" s="11"/>
      <c r="OW1" s="11"/>
      <c r="OX1" s="11"/>
      <c r="OY1" s="11"/>
      <c r="OZ1" s="11"/>
      <c r="PA1" s="11"/>
      <c r="PB1" s="11"/>
      <c r="PC1" s="11"/>
      <c r="PD1" s="11"/>
      <c r="PE1" s="11"/>
      <c r="PF1" s="11"/>
      <c r="PG1" s="11"/>
      <c r="PH1" s="11"/>
      <c r="PI1" s="11"/>
      <c r="PJ1" s="11"/>
      <c r="PK1" s="11"/>
      <c r="PL1" s="11"/>
      <c r="PM1" s="11"/>
      <c r="PN1" s="11"/>
      <c r="PO1" s="11"/>
      <c r="PP1" s="11"/>
      <c r="PQ1" s="11"/>
      <c r="PR1" s="11"/>
      <c r="PS1" s="11"/>
      <c r="PT1" s="11"/>
      <c r="PU1" s="11"/>
      <c r="PV1" s="11"/>
      <c r="PW1" s="11"/>
      <c r="PX1" s="11"/>
      <c r="PY1" s="11"/>
      <c r="PZ1" s="11"/>
      <c r="QA1" s="11"/>
      <c r="QB1" s="11"/>
      <c r="QC1" s="11"/>
      <c r="QD1" s="11"/>
      <c r="QE1" s="11"/>
      <c r="QF1" s="11"/>
      <c r="QG1" s="11"/>
      <c r="QH1" s="11"/>
      <c r="QI1" s="11"/>
      <c r="QJ1" s="11"/>
      <c r="QK1" s="11"/>
      <c r="QL1" s="11"/>
      <c r="QM1" s="11"/>
      <c r="QN1" s="11"/>
      <c r="QO1" s="11"/>
      <c r="QP1" s="11"/>
      <c r="QQ1" s="11"/>
      <c r="QR1" s="11"/>
      <c r="QS1" s="11"/>
      <c r="QT1" s="11"/>
      <c r="QU1" s="11"/>
      <c r="QV1" s="11"/>
      <c r="QW1" s="11"/>
      <c r="QX1" s="11"/>
      <c r="QY1" s="11"/>
      <c r="QZ1" s="11"/>
      <c r="RA1" s="11"/>
      <c r="RB1" s="11"/>
      <c r="RC1" s="11"/>
      <c r="RD1" s="11"/>
      <c r="RE1" s="11"/>
      <c r="RF1" s="11"/>
      <c r="RG1" s="11"/>
      <c r="RH1" s="11"/>
      <c r="RI1" s="11"/>
      <c r="RJ1" s="11"/>
      <c r="RK1" s="11"/>
      <c r="RL1" s="11"/>
      <c r="RM1" s="11"/>
      <c r="RN1" s="11"/>
      <c r="RO1" s="11"/>
      <c r="RP1" s="11"/>
      <c r="RQ1" s="11"/>
      <c r="RR1" s="11"/>
      <c r="RS1" s="11"/>
      <c r="RT1" s="11"/>
      <c r="RU1" s="11"/>
      <c r="RV1" s="11"/>
      <c r="RW1" s="11"/>
      <c r="RX1" s="11"/>
      <c r="RY1" s="11"/>
      <c r="RZ1" s="11"/>
      <c r="SA1" s="11"/>
      <c r="SB1" s="11"/>
      <c r="SC1" s="11"/>
      <c r="SD1" s="11"/>
      <c r="SE1" s="11"/>
      <c r="SF1" s="11"/>
      <c r="SG1" s="11"/>
      <c r="SH1" s="11"/>
      <c r="SI1" s="11"/>
      <c r="SJ1" s="11"/>
      <c r="SK1" s="11"/>
      <c r="SL1" s="11"/>
      <c r="SM1" s="11"/>
      <c r="SN1" s="11"/>
      <c r="SO1" s="11"/>
      <c r="SP1" s="11"/>
      <c r="SQ1" s="11"/>
      <c r="SR1" s="11"/>
      <c r="SS1" s="11"/>
      <c r="ST1" s="11"/>
      <c r="SU1" s="11"/>
      <c r="SV1" s="11"/>
      <c r="SW1" s="11"/>
      <c r="SX1" s="11"/>
      <c r="SY1" s="11"/>
      <c r="SZ1" s="11"/>
      <c r="TA1" s="11"/>
      <c r="TB1" s="11"/>
      <c r="TC1" s="11"/>
      <c r="TD1" s="11"/>
      <c r="TE1" s="11"/>
      <c r="TF1" s="11"/>
      <c r="TG1" s="11"/>
      <c r="TH1" s="11"/>
      <c r="TI1" s="11"/>
      <c r="TJ1" s="11"/>
      <c r="TK1" s="11"/>
      <c r="TL1" s="11"/>
      <c r="TM1" s="11"/>
      <c r="TN1" s="11"/>
      <c r="TO1" s="11"/>
      <c r="TP1" s="11"/>
      <c r="TQ1" s="11"/>
      <c r="TR1" s="11"/>
      <c r="TS1" s="11"/>
      <c r="TT1" s="11"/>
      <c r="TU1" s="11"/>
      <c r="TV1" s="11"/>
      <c r="TW1" s="11"/>
      <c r="TX1" s="11"/>
      <c r="TY1" s="11"/>
      <c r="TZ1" s="11"/>
      <c r="UA1" s="11"/>
      <c r="UB1" s="11"/>
      <c r="UC1" s="11"/>
      <c r="UD1" s="11"/>
      <c r="UE1" s="11"/>
      <c r="UF1" s="11"/>
      <c r="UG1" s="11"/>
      <c r="UH1" s="11"/>
      <c r="UI1" s="11"/>
      <c r="UJ1" s="11"/>
      <c r="UK1" s="11"/>
      <c r="UL1" s="11"/>
      <c r="UM1" s="11"/>
      <c r="UN1" s="11"/>
      <c r="UO1" s="11"/>
      <c r="UP1" s="11"/>
      <c r="UQ1" s="11"/>
      <c r="UR1" s="11"/>
      <c r="US1" s="11"/>
      <c r="UT1" s="11"/>
      <c r="UU1" s="11"/>
      <c r="UV1" s="11"/>
      <c r="UW1" s="11"/>
      <c r="UX1" s="11"/>
      <c r="UY1" s="11"/>
      <c r="UZ1" s="11"/>
      <c r="VA1" s="11"/>
      <c r="VB1" s="11"/>
      <c r="VC1" s="11"/>
      <c r="VD1" s="11"/>
      <c r="VE1" s="11"/>
      <c r="VF1" s="11"/>
      <c r="VG1" s="11"/>
      <c r="VH1" s="11"/>
      <c r="VI1" s="11"/>
      <c r="VJ1" s="11"/>
      <c r="VK1" s="11"/>
      <c r="VL1" s="11"/>
      <c r="VM1" s="11"/>
      <c r="VN1" s="11"/>
      <c r="VO1" s="11"/>
      <c r="VP1" s="11"/>
      <c r="VQ1" s="11"/>
      <c r="VR1" s="11"/>
      <c r="VS1" s="11"/>
      <c r="VT1" s="11"/>
      <c r="VU1" s="11"/>
      <c r="VV1" s="11"/>
      <c r="VW1" s="11"/>
      <c r="VX1" s="11"/>
      <c r="VY1" s="11"/>
      <c r="VZ1" s="11"/>
      <c r="WA1" s="11"/>
      <c r="WB1" s="11"/>
      <c r="WC1" s="11"/>
      <c r="WD1" s="11"/>
      <c r="WE1" s="11"/>
      <c r="WF1" s="11"/>
      <c r="WG1" s="11"/>
      <c r="WH1" s="11"/>
      <c r="WI1" s="11"/>
      <c r="WJ1" s="11"/>
      <c r="WK1" s="11"/>
      <c r="WL1" s="11"/>
      <c r="WM1" s="11"/>
      <c r="WN1" s="11"/>
      <c r="WO1" s="11"/>
      <c r="WP1" s="11"/>
      <c r="WQ1" s="11"/>
      <c r="WR1" s="11"/>
      <c r="WS1" s="11"/>
      <c r="WT1" s="11"/>
      <c r="WU1" s="11"/>
      <c r="WV1" s="11"/>
      <c r="WW1" s="11"/>
      <c r="WX1" s="11"/>
      <c r="WY1" s="11"/>
      <c r="WZ1" s="11"/>
      <c r="XA1" s="11"/>
      <c r="XB1" s="11"/>
      <c r="XC1" s="11"/>
      <c r="XD1" s="11"/>
      <c r="XE1" s="11"/>
      <c r="XF1" s="11"/>
      <c r="XG1" s="11"/>
      <c r="XH1" s="11"/>
      <c r="XI1" s="11"/>
      <c r="XJ1" s="11"/>
      <c r="XK1" s="11"/>
      <c r="XL1" s="11"/>
      <c r="XM1" s="11"/>
      <c r="XN1" s="11"/>
      <c r="XO1" s="11"/>
      <c r="XP1" s="11"/>
      <c r="XQ1" s="11"/>
      <c r="XR1" s="11"/>
      <c r="XS1" s="11"/>
      <c r="XT1" s="11"/>
      <c r="XU1" s="11"/>
      <c r="XV1" s="11"/>
      <c r="XW1" s="11"/>
      <c r="XX1" s="11"/>
      <c r="XY1" s="11"/>
      <c r="XZ1" s="11"/>
      <c r="YA1" s="11"/>
      <c r="YB1" s="11"/>
      <c r="YC1" s="11"/>
      <c r="YD1" s="11"/>
      <c r="YE1" s="11"/>
      <c r="YF1" s="11"/>
      <c r="YG1" s="11"/>
      <c r="YH1" s="11"/>
      <c r="YI1" s="11"/>
      <c r="YJ1" s="11"/>
      <c r="YK1" s="11"/>
      <c r="YL1" s="11"/>
      <c r="YM1" s="11"/>
      <c r="YN1" s="11"/>
      <c r="YO1" s="11"/>
      <c r="YP1" s="11"/>
      <c r="YQ1" s="11"/>
      <c r="YR1" s="11"/>
      <c r="YS1" s="11"/>
      <c r="YT1" s="11"/>
      <c r="YU1" s="11"/>
      <c r="YV1" s="11"/>
      <c r="YW1" s="11"/>
      <c r="YX1" s="11"/>
      <c r="YY1" s="11"/>
      <c r="YZ1" s="11"/>
      <c r="ZA1" s="11"/>
      <c r="ZB1" s="11"/>
      <c r="ZC1" s="11"/>
      <c r="ZD1" s="11"/>
      <c r="ZE1" s="11"/>
      <c r="ZF1" s="11"/>
      <c r="ZG1" s="11"/>
      <c r="ZH1" s="11"/>
      <c r="ZI1" s="11"/>
      <c r="ZJ1" s="11"/>
      <c r="ZK1" s="11"/>
      <c r="ZL1" s="11"/>
      <c r="ZM1" s="11"/>
      <c r="ZN1" s="11"/>
      <c r="ZO1" s="11"/>
      <c r="ZP1" s="11"/>
      <c r="ZQ1" s="11"/>
      <c r="ZR1" s="11"/>
      <c r="ZS1" s="11"/>
      <c r="ZT1" s="11"/>
      <c r="ZU1" s="11"/>
      <c r="ZV1" s="11"/>
      <c r="ZW1" s="11"/>
      <c r="ZX1" s="11"/>
      <c r="ZY1" s="11"/>
      <c r="ZZ1" s="11"/>
      <c r="AAA1" s="11"/>
      <c r="AAB1" s="11"/>
      <c r="AAC1" s="11"/>
      <c r="AAD1" s="11"/>
      <c r="AAE1" s="11"/>
      <c r="AAF1" s="11"/>
      <c r="AAG1" s="11"/>
      <c r="AAH1" s="11"/>
      <c r="AAI1" s="11"/>
      <c r="AAJ1" s="11"/>
      <c r="AAK1" s="11"/>
      <c r="AAL1" s="11"/>
      <c r="AAM1" s="11"/>
      <c r="AAN1" s="11"/>
      <c r="AAO1" s="11"/>
      <c r="AAP1" s="11"/>
      <c r="AAQ1" s="11"/>
      <c r="AAR1" s="11"/>
      <c r="AAS1" s="11"/>
      <c r="AAT1" s="11"/>
      <c r="AAU1" s="11"/>
      <c r="AAV1" s="11"/>
      <c r="AAW1" s="11"/>
      <c r="AAX1" s="11"/>
      <c r="AAY1" s="11"/>
      <c r="AAZ1" s="11"/>
      <c r="ABA1" s="11"/>
      <c r="ABB1" s="11"/>
      <c r="ABC1" s="11"/>
      <c r="ABD1" s="11"/>
      <c r="ABE1" s="11"/>
      <c r="ABF1" s="11"/>
      <c r="ABG1" s="11"/>
      <c r="ABH1" s="11"/>
      <c r="ABI1" s="11"/>
      <c r="ABJ1" s="11"/>
      <c r="ABK1" s="11"/>
      <c r="ABL1" s="11"/>
      <c r="ABM1" s="11"/>
      <c r="ABN1" s="11"/>
      <c r="ABO1" s="11"/>
      <c r="ABP1" s="11"/>
      <c r="ABQ1" s="11"/>
      <c r="ABR1" s="11"/>
      <c r="ABS1" s="11"/>
      <c r="ABT1" s="11"/>
      <c r="ABU1" s="11"/>
      <c r="ABV1" s="11"/>
      <c r="ABW1" s="11"/>
      <c r="ABX1" s="11"/>
      <c r="ABY1" s="11"/>
      <c r="ABZ1" s="11"/>
      <c r="ACA1" s="11"/>
      <c r="ACB1" s="11"/>
      <c r="ACC1" s="11"/>
      <c r="ACD1" s="11"/>
      <c r="ACE1" s="11"/>
      <c r="ACF1" s="11"/>
      <c r="ACG1" s="11"/>
      <c r="ACH1" s="11"/>
      <c r="ACI1" s="11"/>
      <c r="ACJ1" s="11"/>
      <c r="ACK1" s="11"/>
      <c r="ACL1" s="11"/>
      <c r="ACM1" s="11"/>
      <c r="ACN1" s="11"/>
      <c r="ACO1" s="11"/>
      <c r="ACP1" s="11"/>
      <c r="ACQ1" s="11"/>
      <c r="ACR1" s="11"/>
      <c r="ACS1" s="11"/>
      <c r="ACT1" s="11"/>
      <c r="ACU1" s="11"/>
      <c r="ACV1" s="11"/>
      <c r="ACW1" s="11"/>
      <c r="ACX1" s="11"/>
      <c r="ACY1" s="11"/>
      <c r="ACZ1" s="11"/>
      <c r="ADA1" s="11"/>
      <c r="ADB1" s="11"/>
      <c r="ADC1" s="11"/>
      <c r="ADD1" s="11"/>
      <c r="ADE1" s="11"/>
      <c r="ADF1" s="11"/>
      <c r="ADG1" s="11"/>
      <c r="ADH1" s="11"/>
      <c r="ADI1" s="11"/>
      <c r="ADJ1" s="11"/>
      <c r="ADK1" s="11"/>
      <c r="ADL1" s="11"/>
      <c r="ADM1" s="11"/>
      <c r="ADN1" s="11"/>
      <c r="ADO1" s="11"/>
      <c r="ADP1" s="11"/>
      <c r="ADQ1" s="11"/>
      <c r="ADR1" s="11"/>
      <c r="ADS1" s="11"/>
      <c r="ADT1" s="11"/>
      <c r="ADU1" s="11"/>
      <c r="ADV1" s="11"/>
      <c r="ADW1" s="11"/>
      <c r="ADX1" s="11"/>
      <c r="ADY1" s="11"/>
      <c r="ADZ1" s="11"/>
      <c r="AEA1" s="11"/>
      <c r="AEB1" s="11"/>
      <c r="AEC1" s="11"/>
      <c r="AED1" s="11"/>
      <c r="AEE1" s="11"/>
      <c r="AEF1" s="11"/>
      <c r="AEG1" s="11"/>
      <c r="AEH1" s="11"/>
      <c r="AEI1" s="11"/>
      <c r="AEJ1" s="11"/>
      <c r="AEK1" s="11"/>
      <c r="AEL1" s="11"/>
      <c r="AEM1" s="11"/>
      <c r="AEN1" s="11"/>
      <c r="AEO1" s="11"/>
      <c r="AEP1" s="11"/>
      <c r="AEQ1" s="11"/>
      <c r="AER1" s="11"/>
      <c r="AES1" s="11"/>
      <c r="AET1" s="11"/>
      <c r="AEU1" s="11"/>
      <c r="AEV1" s="11"/>
      <c r="AEW1" s="11"/>
      <c r="AEX1" s="11"/>
      <c r="AEY1" s="11"/>
      <c r="AEZ1" s="11"/>
      <c r="AFA1" s="11"/>
      <c r="AFB1" s="11"/>
      <c r="AFC1" s="11"/>
      <c r="AFD1" s="11"/>
      <c r="AFE1" s="11"/>
      <c r="AFF1" s="11"/>
      <c r="AFG1" s="11"/>
      <c r="AFH1" s="11"/>
      <c r="AFI1" s="11"/>
      <c r="AFJ1" s="11"/>
      <c r="AFK1" s="11"/>
      <c r="AFL1" s="11"/>
      <c r="AFM1" s="11"/>
      <c r="AFN1" s="11"/>
      <c r="AFO1" s="11"/>
      <c r="AFP1" s="11"/>
      <c r="AFQ1" s="11"/>
      <c r="AFR1" s="11"/>
      <c r="AFS1" s="11"/>
      <c r="AFT1" s="11"/>
      <c r="AFU1" s="11"/>
      <c r="AFV1" s="11"/>
      <c r="AFW1" s="11"/>
      <c r="AFX1" s="11"/>
      <c r="AFY1" s="11"/>
      <c r="AFZ1" s="11"/>
      <c r="AGA1" s="11"/>
      <c r="AGB1" s="11"/>
      <c r="AGC1" s="11"/>
      <c r="AGD1" s="11"/>
      <c r="AGE1" s="11"/>
      <c r="AGF1" s="11"/>
      <c r="AGG1" s="11"/>
      <c r="AGH1" s="11"/>
      <c r="AGI1" s="11"/>
      <c r="AGJ1" s="11"/>
      <c r="AGK1" s="11"/>
      <c r="AGL1" s="11"/>
      <c r="AGM1" s="11"/>
      <c r="AGN1" s="11"/>
      <c r="AGO1" s="11"/>
      <c r="AGP1" s="11"/>
      <c r="AGQ1" s="11"/>
      <c r="AGR1" s="11"/>
      <c r="AGS1" s="11"/>
      <c r="AGT1" s="11"/>
      <c r="AGU1" s="11"/>
      <c r="AGV1" s="11"/>
      <c r="AGW1" s="11"/>
      <c r="AGX1" s="11"/>
      <c r="AGY1" s="11"/>
      <c r="AGZ1" s="11"/>
      <c r="AHA1" s="11"/>
      <c r="AHB1" s="11"/>
      <c r="AHC1" s="11"/>
      <c r="AHD1" s="11"/>
      <c r="AHE1" s="11"/>
      <c r="AHF1" s="11"/>
      <c r="AHG1" s="11"/>
      <c r="AHH1" s="11"/>
      <c r="AHI1" s="11"/>
      <c r="AHJ1" s="11"/>
      <c r="AHK1" s="11"/>
      <c r="AHL1" s="11"/>
      <c r="AHM1" s="11"/>
      <c r="AHN1" s="11"/>
      <c r="AHO1" s="11"/>
      <c r="AHP1" s="11"/>
      <c r="AHQ1" s="11"/>
      <c r="AHR1" s="11"/>
      <c r="AHS1" s="11"/>
      <c r="AHT1" s="11"/>
      <c r="AHU1" s="11"/>
      <c r="AHV1" s="11"/>
      <c r="AHW1" s="11"/>
      <c r="AHX1" s="11"/>
      <c r="AHY1" s="11"/>
      <c r="AHZ1" s="11"/>
      <c r="AIA1" s="11"/>
      <c r="AIB1" s="11"/>
      <c r="AIC1" s="11"/>
      <c r="AID1" s="11"/>
      <c r="AIE1" s="11"/>
      <c r="AIF1" s="11"/>
      <c r="AIG1" s="11"/>
      <c r="AIH1" s="11"/>
      <c r="AII1" s="11"/>
      <c r="AIJ1" s="11"/>
      <c r="AIK1" s="11"/>
      <c r="AIL1" s="11"/>
      <c r="AIM1" s="11"/>
      <c r="AIN1" s="11"/>
      <c r="AIO1" s="11"/>
      <c r="AIP1" s="11"/>
      <c r="AIQ1" s="11"/>
      <c r="AIR1" s="11"/>
      <c r="AIS1" s="11"/>
      <c r="AIT1" s="11"/>
      <c r="AIU1" s="11"/>
      <c r="AIV1" s="11"/>
      <c r="AIW1" s="11"/>
      <c r="AIX1" s="11"/>
      <c r="AIY1" s="11"/>
      <c r="AIZ1" s="11"/>
      <c r="AJA1" s="11"/>
      <c r="AJB1" s="11"/>
      <c r="AJC1" s="11"/>
      <c r="AJD1" s="11"/>
      <c r="AJE1" s="11"/>
      <c r="AJF1" s="11"/>
      <c r="AJG1" s="11"/>
      <c r="AJH1" s="11"/>
      <c r="AJI1" s="11"/>
      <c r="AJJ1" s="11"/>
      <c r="AJK1" s="11"/>
      <c r="AJL1" s="11"/>
      <c r="AJM1" s="11"/>
      <c r="AJN1" s="11"/>
      <c r="AJO1" s="11"/>
      <c r="AJP1" s="11"/>
      <c r="AJQ1" s="11"/>
      <c r="AJR1" s="11"/>
      <c r="AJS1" s="11"/>
      <c r="AJT1" s="11"/>
      <c r="AJU1" s="11"/>
      <c r="AJV1" s="11"/>
      <c r="AJW1" s="11"/>
      <c r="AJX1" s="11"/>
      <c r="AJY1" s="11"/>
      <c r="AJZ1" s="11"/>
      <c r="AKA1" s="11"/>
      <c r="AKB1" s="11"/>
      <c r="AKC1" s="11"/>
      <c r="AKD1" s="11"/>
      <c r="AKE1" s="11"/>
      <c r="AKF1" s="11"/>
      <c r="AKG1" s="11"/>
      <c r="AKH1" s="11"/>
      <c r="AKI1" s="11"/>
      <c r="AKJ1" s="11"/>
      <c r="AKK1" s="11"/>
      <c r="AKL1" s="11"/>
      <c r="AKM1" s="11"/>
      <c r="AKN1" s="11"/>
      <c r="AKO1" s="11"/>
      <c r="AKP1" s="11"/>
      <c r="AKQ1" s="11"/>
      <c r="AKR1" s="11"/>
      <c r="AKS1" s="11"/>
      <c r="AKT1" s="11"/>
      <c r="AKU1" s="11"/>
      <c r="AKV1" s="11"/>
      <c r="AKW1" s="11"/>
      <c r="AKX1" s="11"/>
      <c r="AKY1" s="11"/>
      <c r="AKZ1" s="11"/>
      <c r="ALA1" s="11"/>
      <c r="ALB1" s="11"/>
      <c r="ALC1" s="11"/>
      <c r="ALD1" s="11"/>
      <c r="ALE1" s="11"/>
      <c r="ALF1" s="11"/>
      <c r="ALG1" s="11"/>
      <c r="ALH1" s="11"/>
      <c r="ALI1" s="11"/>
      <c r="ALJ1" s="11"/>
      <c r="ALK1" s="11"/>
      <c r="ALL1" s="11"/>
      <c r="ALM1" s="11"/>
      <c r="ALN1" s="11"/>
      <c r="ALO1" s="11"/>
      <c r="ALP1" s="11"/>
      <c r="ALQ1" s="11"/>
      <c r="ALR1" s="11"/>
      <c r="ALS1" s="11"/>
      <c r="ALT1" s="11"/>
      <c r="ALU1" s="11"/>
      <c r="ALV1" s="11"/>
      <c r="ALW1" s="11"/>
      <c r="ALX1" s="11"/>
      <c r="ALY1" s="11"/>
      <c r="ALZ1" s="11"/>
      <c r="AMA1" s="11"/>
      <c r="AMB1" s="11"/>
      <c r="AMC1" s="11"/>
      <c r="AMD1" s="11"/>
      <c r="AME1" s="11"/>
      <c r="AMF1" s="11"/>
      <c r="AMG1" s="11"/>
      <c r="AMH1" s="11"/>
      <c r="AMI1" s="11"/>
      <c r="AMJ1" s="11"/>
      <c r="AMK1" s="11"/>
      <c r="AML1" s="11"/>
    </row>
    <row r="2" spans="1:1026" ht="25.5" x14ac:dyDescent="0.2">
      <c r="A2" s="4" t="s">
        <v>50</v>
      </c>
      <c r="B2" s="4" t="s">
        <v>51</v>
      </c>
      <c r="C2" s="4" t="s">
        <v>52</v>
      </c>
      <c r="D2" s="4" t="s">
        <v>53</v>
      </c>
      <c r="E2" s="4" t="s">
        <v>54</v>
      </c>
      <c r="F2" s="4" t="s">
        <v>55</v>
      </c>
      <c r="G2" s="4" t="s">
        <v>56</v>
      </c>
      <c r="H2" s="4" t="s">
        <v>57</v>
      </c>
      <c r="I2" s="4" t="s">
        <v>58</v>
      </c>
      <c r="J2" s="4" t="s">
        <v>59</v>
      </c>
      <c r="K2" s="4" t="s">
        <v>60</v>
      </c>
    </row>
    <row r="3" spans="1:1026" ht="38.25" x14ac:dyDescent="0.2">
      <c r="A3" s="10" t="s">
        <v>61</v>
      </c>
      <c r="B3" s="7" t="s">
        <v>62</v>
      </c>
      <c r="C3" s="7">
        <v>0</v>
      </c>
      <c r="D3" s="7" t="s">
        <v>63</v>
      </c>
      <c r="E3" s="7" t="s">
        <v>25</v>
      </c>
      <c r="G3" s="7" t="s">
        <v>64</v>
      </c>
      <c r="H3" s="7" t="s">
        <v>17</v>
      </c>
      <c r="K3" s="8">
        <v>43800</v>
      </c>
    </row>
    <row r="4" spans="1:1026" ht="38.25" x14ac:dyDescent="0.2">
      <c r="A4" s="10" t="s">
        <v>65</v>
      </c>
      <c r="B4" s="7" t="s">
        <v>66</v>
      </c>
      <c r="C4" s="7">
        <v>2</v>
      </c>
      <c r="D4" s="7" t="s">
        <v>63</v>
      </c>
      <c r="E4" s="7" t="s">
        <v>67</v>
      </c>
      <c r="G4" s="7" t="s">
        <v>68</v>
      </c>
      <c r="H4" s="7" t="s">
        <v>69</v>
      </c>
      <c r="K4" s="8">
        <v>43800</v>
      </c>
    </row>
    <row r="5" spans="1:1026" ht="127.5" x14ac:dyDescent="0.2">
      <c r="A5" s="10" t="s">
        <v>70</v>
      </c>
      <c r="B5" s="7" t="s">
        <v>71</v>
      </c>
      <c r="C5" s="7">
        <v>7</v>
      </c>
      <c r="D5" s="7" t="s">
        <v>63</v>
      </c>
      <c r="E5" s="7" t="s">
        <v>25</v>
      </c>
      <c r="G5" s="7" t="s">
        <v>72</v>
      </c>
      <c r="H5" s="7" t="s">
        <v>73</v>
      </c>
      <c r="K5" s="8">
        <v>43800</v>
      </c>
    </row>
    <row r="6" spans="1:1026" ht="76.5" x14ac:dyDescent="0.2">
      <c r="A6" s="10" t="s">
        <v>74</v>
      </c>
      <c r="B6" s="7" t="s">
        <v>75</v>
      </c>
      <c r="C6" s="7">
        <v>11</v>
      </c>
      <c r="D6" s="7" t="s">
        <v>63</v>
      </c>
      <c r="E6" s="7" t="s">
        <v>25</v>
      </c>
      <c r="G6" s="7" t="s">
        <v>76</v>
      </c>
      <c r="H6" s="7" t="s">
        <v>77</v>
      </c>
      <c r="K6" s="8">
        <v>43800</v>
      </c>
    </row>
    <row r="7" spans="1:1026" ht="102" x14ac:dyDescent="0.2">
      <c r="A7" s="10" t="s">
        <v>78</v>
      </c>
      <c r="B7" s="7" t="s">
        <v>79</v>
      </c>
      <c r="C7" s="7">
        <v>14</v>
      </c>
      <c r="D7" s="7" t="s">
        <v>63</v>
      </c>
      <c r="E7" s="7" t="s">
        <v>25</v>
      </c>
      <c r="G7" s="7" t="s">
        <v>80</v>
      </c>
      <c r="K7" s="8">
        <v>43800</v>
      </c>
    </row>
  </sheetData>
  <phoneticPr fontId="17" type="noConversion"/>
  <pageMargins left="0" right="0" top="0.39370078740157483" bottom="0.39370078740157483" header="0" footer="0"/>
  <headerFooter>
    <oddHeader>&amp;C&amp;A</oddHeader>
    <oddFooter>&amp;CPagina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C1B2B-4073-4FF3-93FF-FD516B0B76CA}">
  <dimension ref="A1:F20"/>
  <sheetViews>
    <sheetView workbookViewId="0">
      <pane xSplit="3" ySplit="2" topLeftCell="D3" activePane="bottomRight" state="frozen"/>
      <selection pane="topRight"/>
      <selection pane="bottomLeft"/>
      <selection pane="bottomRight"/>
    </sheetView>
  </sheetViews>
  <sheetFormatPr defaultColWidth="8.75" defaultRowHeight="12.75" x14ac:dyDescent="0.2"/>
  <cols>
    <col min="1" max="1" width="4.25" style="10" customWidth="1"/>
    <col min="2" max="2" width="19.25" style="10" customWidth="1"/>
    <col min="3" max="3" width="23.25" style="10" customWidth="1"/>
    <col min="4" max="4" width="44" style="10" customWidth="1"/>
    <col min="5" max="5" width="8.75" style="10"/>
    <col min="6" max="6" width="61.5" style="10" customWidth="1"/>
    <col min="7" max="16384" width="8.75" style="10"/>
  </cols>
  <sheetData>
    <row r="1" spans="1:6" s="22" customFormat="1" x14ac:dyDescent="0.2">
      <c r="A1" s="9" t="str">
        <f>CONCATENATE("Checklistst bij zaaktype ",Zaaktype!B2,": ",Zaaktype!B3)</f>
        <v>Checklistst bij zaaktype 14: Voorlopige voorziening behandelen</v>
      </c>
    </row>
    <row r="2" spans="1:6" s="22" customFormat="1" x14ac:dyDescent="0.2">
      <c r="A2" s="23" t="s">
        <v>81</v>
      </c>
      <c r="B2" s="23"/>
      <c r="C2" s="23" t="s">
        <v>82</v>
      </c>
      <c r="D2" s="23" t="s">
        <v>83</v>
      </c>
      <c r="E2" s="23" t="s">
        <v>84</v>
      </c>
      <c r="F2" s="23" t="s">
        <v>56</v>
      </c>
    </row>
    <row r="3" spans="1:6" ht="63.75" x14ac:dyDescent="0.2">
      <c r="A3" s="24" t="s">
        <v>61</v>
      </c>
      <c r="B3" s="24" t="s">
        <v>62</v>
      </c>
      <c r="C3" s="10" t="s">
        <v>85</v>
      </c>
      <c r="D3" s="10" t="s">
        <v>86</v>
      </c>
      <c r="E3" s="10" t="s">
        <v>67</v>
      </c>
      <c r="F3" s="10" t="s">
        <v>87</v>
      </c>
    </row>
    <row r="4" spans="1:6" x14ac:dyDescent="0.2">
      <c r="A4" s="21" t="s">
        <v>61</v>
      </c>
      <c r="B4" s="21" t="s">
        <v>62</v>
      </c>
      <c r="C4" s="21" t="s">
        <v>88</v>
      </c>
      <c r="D4" s="21" t="s">
        <v>89</v>
      </c>
      <c r="E4" s="21" t="s">
        <v>25</v>
      </c>
      <c r="F4" s="21" t="s">
        <v>90</v>
      </c>
    </row>
    <row r="5" spans="1:6" ht="89.25" x14ac:dyDescent="0.2">
      <c r="A5" s="24" t="s">
        <v>65</v>
      </c>
      <c r="B5" s="24" t="s">
        <v>66</v>
      </c>
      <c r="C5" s="10" t="s">
        <v>91</v>
      </c>
      <c r="D5" s="10" t="s">
        <v>92</v>
      </c>
      <c r="E5" s="10" t="s">
        <v>67</v>
      </c>
      <c r="F5" s="10" t="s">
        <v>93</v>
      </c>
    </row>
    <row r="6" spans="1:6" ht="25.5" x14ac:dyDescent="0.2">
      <c r="A6" s="10" t="s">
        <v>65</v>
      </c>
      <c r="B6" s="10" t="s">
        <v>66</v>
      </c>
      <c r="C6" s="10" t="s">
        <v>94</v>
      </c>
      <c r="D6" s="10" t="s">
        <v>95</v>
      </c>
      <c r="E6" s="10" t="s">
        <v>67</v>
      </c>
      <c r="F6" s="10" t="s">
        <v>96</v>
      </c>
    </row>
    <row r="7" spans="1:6" ht="38.25" x14ac:dyDescent="0.2">
      <c r="A7" s="21" t="s">
        <v>65</v>
      </c>
      <c r="B7" s="21" t="s">
        <v>66</v>
      </c>
      <c r="C7" s="21" t="s">
        <v>97</v>
      </c>
      <c r="D7" s="21" t="s">
        <v>98</v>
      </c>
      <c r="E7" s="21" t="s">
        <v>67</v>
      </c>
      <c r="F7" s="21" t="s">
        <v>99</v>
      </c>
    </row>
    <row r="8" spans="1:6" ht="51" x14ac:dyDescent="0.2">
      <c r="A8" s="24" t="s">
        <v>70</v>
      </c>
      <c r="B8" s="24" t="s">
        <v>71</v>
      </c>
      <c r="C8" s="10" t="s">
        <v>100</v>
      </c>
      <c r="D8" s="10" t="s">
        <v>101</v>
      </c>
      <c r="E8" s="10" t="s">
        <v>67</v>
      </c>
      <c r="F8" s="10" t="s">
        <v>102</v>
      </c>
    </row>
    <row r="9" spans="1:6" ht="165.75" x14ac:dyDescent="0.2">
      <c r="A9" s="10" t="s">
        <v>70</v>
      </c>
      <c r="B9" s="10" t="s">
        <v>71</v>
      </c>
      <c r="C9" s="10" t="s">
        <v>103</v>
      </c>
      <c r="D9" s="10" t="s">
        <v>104</v>
      </c>
      <c r="E9" s="10" t="s">
        <v>67</v>
      </c>
      <c r="F9" s="10" t="s">
        <v>105</v>
      </c>
    </row>
    <row r="10" spans="1:6" ht="25.5" x14ac:dyDescent="0.2">
      <c r="A10" s="10" t="s">
        <v>70</v>
      </c>
      <c r="B10" s="10" t="s">
        <v>71</v>
      </c>
      <c r="C10" s="10" t="s">
        <v>106</v>
      </c>
      <c r="D10" s="10" t="s">
        <v>107</v>
      </c>
      <c r="E10" s="10" t="s">
        <v>67</v>
      </c>
      <c r="F10" s="10" t="s">
        <v>108</v>
      </c>
    </row>
    <row r="11" spans="1:6" ht="25.5" x14ac:dyDescent="0.2">
      <c r="A11" s="10" t="s">
        <v>70</v>
      </c>
      <c r="B11" s="10" t="s">
        <v>71</v>
      </c>
      <c r="C11" s="10" t="s">
        <v>109</v>
      </c>
      <c r="D11" s="10" t="s">
        <v>110</v>
      </c>
      <c r="E11" s="10" t="s">
        <v>67</v>
      </c>
      <c r="F11" s="10" t="s">
        <v>111</v>
      </c>
    </row>
    <row r="12" spans="1:6" ht="63.75" x14ac:dyDescent="0.2">
      <c r="A12" s="21" t="s">
        <v>70</v>
      </c>
      <c r="B12" s="21" t="s">
        <v>71</v>
      </c>
      <c r="C12" s="21" t="s">
        <v>112</v>
      </c>
      <c r="D12" s="21" t="s">
        <v>113</v>
      </c>
      <c r="E12" s="21" t="s">
        <v>67</v>
      </c>
      <c r="F12" s="21" t="s">
        <v>114</v>
      </c>
    </row>
    <row r="13" spans="1:6" ht="63.75" x14ac:dyDescent="0.2">
      <c r="A13" s="24" t="s">
        <v>74</v>
      </c>
      <c r="B13" s="24" t="s">
        <v>75</v>
      </c>
      <c r="C13" s="10" t="s">
        <v>115</v>
      </c>
      <c r="D13" s="10" t="s">
        <v>116</v>
      </c>
      <c r="E13" s="10" t="s">
        <v>67</v>
      </c>
      <c r="F13" s="10" t="s">
        <v>117</v>
      </c>
    </row>
    <row r="14" spans="1:6" ht="25.5" x14ac:dyDescent="0.2">
      <c r="A14" s="10" t="s">
        <v>74</v>
      </c>
      <c r="B14" s="10" t="s">
        <v>75</v>
      </c>
      <c r="C14" s="10" t="s">
        <v>118</v>
      </c>
      <c r="D14" s="10" t="s">
        <v>119</v>
      </c>
      <c r="E14" s="10" t="s">
        <v>25</v>
      </c>
      <c r="F14" s="10" t="s">
        <v>120</v>
      </c>
    </row>
    <row r="15" spans="1:6" ht="51" x14ac:dyDescent="0.2">
      <c r="A15" s="10" t="s">
        <v>74</v>
      </c>
      <c r="B15" s="10" t="s">
        <v>75</v>
      </c>
      <c r="C15" s="10" t="s">
        <v>121</v>
      </c>
      <c r="D15" s="10" t="s">
        <v>122</v>
      </c>
      <c r="E15" s="10" t="s">
        <v>25</v>
      </c>
      <c r="F15" s="10" t="s">
        <v>123</v>
      </c>
    </row>
    <row r="16" spans="1:6" ht="76.5" x14ac:dyDescent="0.2">
      <c r="A16" s="21" t="s">
        <v>74</v>
      </c>
      <c r="B16" s="21" t="s">
        <v>75</v>
      </c>
      <c r="C16" s="21" t="s">
        <v>124</v>
      </c>
      <c r="D16" s="21" t="s">
        <v>125</v>
      </c>
      <c r="E16" s="21" t="s">
        <v>25</v>
      </c>
      <c r="F16" s="21" t="s">
        <v>126</v>
      </c>
    </row>
    <row r="17" spans="1:6" ht="38.25" x14ac:dyDescent="0.2">
      <c r="A17" s="24" t="s">
        <v>78</v>
      </c>
      <c r="B17" s="24" t="s">
        <v>79</v>
      </c>
      <c r="C17" s="10" t="s">
        <v>127</v>
      </c>
      <c r="D17" s="10" t="s">
        <v>128</v>
      </c>
      <c r="E17" s="10" t="s">
        <v>67</v>
      </c>
      <c r="F17" s="10" t="s">
        <v>129</v>
      </c>
    </row>
    <row r="18" spans="1:6" ht="63.75" x14ac:dyDescent="0.2">
      <c r="A18" s="10" t="s">
        <v>78</v>
      </c>
      <c r="B18" s="10" t="s">
        <v>79</v>
      </c>
      <c r="C18" s="10" t="s">
        <v>130</v>
      </c>
      <c r="D18" s="10" t="s">
        <v>131</v>
      </c>
      <c r="E18" s="10" t="s">
        <v>67</v>
      </c>
      <c r="F18" s="10" t="s">
        <v>132</v>
      </c>
    </row>
    <row r="19" spans="1:6" ht="127.5" x14ac:dyDescent="0.2">
      <c r="A19" s="10" t="s">
        <v>78</v>
      </c>
      <c r="B19" s="10" t="s">
        <v>79</v>
      </c>
      <c r="C19" s="10" t="s">
        <v>133</v>
      </c>
      <c r="D19" s="10" t="s">
        <v>134</v>
      </c>
      <c r="E19" s="10" t="s">
        <v>67</v>
      </c>
      <c r="F19" s="10" t="s">
        <v>135</v>
      </c>
    </row>
    <row r="20" spans="1:6" ht="204" x14ac:dyDescent="0.2">
      <c r="A20" s="21" t="s">
        <v>78</v>
      </c>
      <c r="B20" s="21" t="s">
        <v>79</v>
      </c>
      <c r="C20" s="21" t="s">
        <v>136</v>
      </c>
      <c r="D20" s="21" t="s">
        <v>137</v>
      </c>
      <c r="E20" s="21" t="s">
        <v>67</v>
      </c>
      <c r="F20" s="21" t="s">
        <v>138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3"/>
  <dimension ref="A1:AMJ10"/>
  <sheetViews>
    <sheetView workbookViewId="0">
      <pane xSplit="1" ySplit="2" topLeftCell="B3" activePane="bottomRight" state="frozen"/>
      <selection pane="topRight"/>
      <selection pane="bottomLeft"/>
      <selection pane="bottomRight"/>
    </sheetView>
  </sheetViews>
  <sheetFormatPr defaultColWidth="8.75" defaultRowHeight="12.75" x14ac:dyDescent="0.2"/>
  <cols>
    <col min="1" max="1" width="23.625" style="7" customWidth="1"/>
    <col min="2" max="2" width="21" style="7" customWidth="1"/>
    <col min="3" max="3" width="18.875" style="7" customWidth="1"/>
    <col min="4" max="4" width="23" style="7" customWidth="1"/>
    <col min="5" max="5" width="11.25" style="7" customWidth="1"/>
    <col min="6" max="1024" width="46" style="7" customWidth="1"/>
    <col min="1025" max="16384" width="8.75" style="10"/>
  </cols>
  <sheetData>
    <row r="1" spans="1:1024" s="9" customFormat="1" x14ac:dyDescent="0.2">
      <c r="A1" s="11" t="str">
        <f>CONCATENATE("Roltypen bij zaaktype ",Zaaktype!B2,": ",Zaaktype!B3)</f>
        <v>Roltypen bij zaaktype 14: Voorlopige voorziening behandelen</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1"/>
      <c r="IN1" s="11"/>
      <c r="IO1" s="11"/>
      <c r="IP1" s="11"/>
      <c r="IQ1" s="11"/>
      <c r="IR1" s="11"/>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1"/>
      <c r="KJ1" s="11"/>
      <c r="KK1" s="11"/>
      <c r="KL1" s="11"/>
      <c r="KM1" s="11"/>
      <c r="KN1" s="11"/>
      <c r="KO1" s="11"/>
      <c r="KP1" s="11"/>
      <c r="KQ1" s="11"/>
      <c r="KR1" s="11"/>
      <c r="KS1" s="11"/>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1"/>
      <c r="MF1" s="11"/>
      <c r="MG1" s="11"/>
      <c r="MH1" s="11"/>
      <c r="MI1" s="11"/>
      <c r="MJ1" s="11"/>
      <c r="MK1" s="11"/>
      <c r="ML1" s="11"/>
      <c r="MM1" s="11"/>
      <c r="MN1" s="11"/>
      <c r="MO1" s="11"/>
      <c r="MP1" s="11"/>
      <c r="MQ1" s="11"/>
      <c r="MR1" s="11"/>
      <c r="MS1" s="11"/>
      <c r="MT1" s="11"/>
      <c r="MU1" s="11"/>
      <c r="MV1" s="11"/>
      <c r="MW1" s="11"/>
      <c r="MX1" s="11"/>
      <c r="MY1" s="11"/>
      <c r="MZ1" s="11"/>
      <c r="NA1" s="11"/>
      <c r="NB1" s="11"/>
      <c r="NC1" s="11"/>
      <c r="ND1" s="11"/>
      <c r="NE1" s="11"/>
      <c r="NF1" s="11"/>
      <c r="NG1" s="11"/>
      <c r="NH1" s="11"/>
      <c r="NI1" s="11"/>
      <c r="NJ1" s="11"/>
      <c r="NK1" s="11"/>
      <c r="NL1" s="11"/>
      <c r="NM1" s="11"/>
      <c r="NN1" s="11"/>
      <c r="NO1" s="11"/>
      <c r="NP1" s="11"/>
      <c r="NQ1" s="11"/>
      <c r="NR1" s="11"/>
      <c r="NS1" s="11"/>
      <c r="NT1" s="11"/>
      <c r="NU1" s="11"/>
      <c r="NV1" s="11"/>
      <c r="NW1" s="11"/>
      <c r="NX1" s="11"/>
      <c r="NY1" s="11"/>
      <c r="NZ1" s="11"/>
      <c r="OA1" s="11"/>
      <c r="OB1" s="11"/>
      <c r="OC1" s="11"/>
      <c r="OD1" s="11"/>
      <c r="OE1" s="11"/>
      <c r="OF1" s="11"/>
      <c r="OG1" s="11"/>
      <c r="OH1" s="11"/>
      <c r="OI1" s="11"/>
      <c r="OJ1" s="11"/>
      <c r="OK1" s="11"/>
      <c r="OL1" s="11"/>
      <c r="OM1" s="11"/>
      <c r="ON1" s="11"/>
      <c r="OO1" s="11"/>
      <c r="OP1" s="11"/>
      <c r="OQ1" s="11"/>
      <c r="OR1" s="11"/>
      <c r="OS1" s="11"/>
      <c r="OT1" s="11"/>
      <c r="OU1" s="11"/>
      <c r="OV1" s="11"/>
      <c r="OW1" s="11"/>
      <c r="OX1" s="11"/>
      <c r="OY1" s="11"/>
      <c r="OZ1" s="11"/>
      <c r="PA1" s="11"/>
      <c r="PB1" s="11"/>
      <c r="PC1" s="11"/>
      <c r="PD1" s="11"/>
      <c r="PE1" s="11"/>
      <c r="PF1" s="11"/>
      <c r="PG1" s="11"/>
      <c r="PH1" s="11"/>
      <c r="PI1" s="11"/>
      <c r="PJ1" s="11"/>
      <c r="PK1" s="11"/>
      <c r="PL1" s="11"/>
      <c r="PM1" s="11"/>
      <c r="PN1" s="11"/>
      <c r="PO1" s="11"/>
      <c r="PP1" s="11"/>
      <c r="PQ1" s="11"/>
      <c r="PR1" s="11"/>
      <c r="PS1" s="11"/>
      <c r="PT1" s="11"/>
      <c r="PU1" s="11"/>
      <c r="PV1" s="11"/>
      <c r="PW1" s="11"/>
      <c r="PX1" s="11"/>
      <c r="PY1" s="11"/>
      <c r="PZ1" s="11"/>
      <c r="QA1" s="11"/>
      <c r="QB1" s="11"/>
      <c r="QC1" s="11"/>
      <c r="QD1" s="11"/>
      <c r="QE1" s="11"/>
      <c r="QF1" s="11"/>
      <c r="QG1" s="11"/>
      <c r="QH1" s="11"/>
      <c r="QI1" s="11"/>
      <c r="QJ1" s="11"/>
      <c r="QK1" s="11"/>
      <c r="QL1" s="11"/>
      <c r="QM1" s="11"/>
      <c r="QN1" s="11"/>
      <c r="QO1" s="11"/>
      <c r="QP1" s="11"/>
      <c r="QQ1" s="11"/>
      <c r="QR1" s="11"/>
      <c r="QS1" s="11"/>
      <c r="QT1" s="11"/>
      <c r="QU1" s="11"/>
      <c r="QV1" s="11"/>
      <c r="QW1" s="11"/>
      <c r="QX1" s="11"/>
      <c r="QY1" s="11"/>
      <c r="QZ1" s="11"/>
      <c r="RA1" s="11"/>
      <c r="RB1" s="11"/>
      <c r="RC1" s="11"/>
      <c r="RD1" s="11"/>
      <c r="RE1" s="11"/>
      <c r="RF1" s="11"/>
      <c r="RG1" s="11"/>
      <c r="RH1" s="11"/>
      <c r="RI1" s="11"/>
      <c r="RJ1" s="11"/>
      <c r="RK1" s="11"/>
      <c r="RL1" s="11"/>
      <c r="RM1" s="11"/>
      <c r="RN1" s="11"/>
      <c r="RO1" s="11"/>
      <c r="RP1" s="11"/>
      <c r="RQ1" s="11"/>
      <c r="RR1" s="11"/>
      <c r="RS1" s="11"/>
      <c r="RT1" s="11"/>
      <c r="RU1" s="11"/>
      <c r="RV1" s="11"/>
      <c r="RW1" s="11"/>
      <c r="RX1" s="11"/>
      <c r="RY1" s="11"/>
      <c r="RZ1" s="11"/>
      <c r="SA1" s="11"/>
      <c r="SB1" s="11"/>
      <c r="SC1" s="11"/>
      <c r="SD1" s="11"/>
      <c r="SE1" s="11"/>
      <c r="SF1" s="11"/>
      <c r="SG1" s="11"/>
      <c r="SH1" s="11"/>
      <c r="SI1" s="11"/>
      <c r="SJ1" s="11"/>
      <c r="SK1" s="11"/>
      <c r="SL1" s="11"/>
      <c r="SM1" s="11"/>
      <c r="SN1" s="11"/>
      <c r="SO1" s="11"/>
      <c r="SP1" s="11"/>
      <c r="SQ1" s="11"/>
      <c r="SR1" s="11"/>
      <c r="SS1" s="11"/>
      <c r="ST1" s="11"/>
      <c r="SU1" s="11"/>
      <c r="SV1" s="11"/>
      <c r="SW1" s="11"/>
      <c r="SX1" s="11"/>
      <c r="SY1" s="11"/>
      <c r="SZ1" s="11"/>
      <c r="TA1" s="11"/>
      <c r="TB1" s="11"/>
      <c r="TC1" s="11"/>
      <c r="TD1" s="11"/>
      <c r="TE1" s="11"/>
      <c r="TF1" s="11"/>
      <c r="TG1" s="11"/>
      <c r="TH1" s="11"/>
      <c r="TI1" s="11"/>
      <c r="TJ1" s="11"/>
      <c r="TK1" s="11"/>
      <c r="TL1" s="11"/>
      <c r="TM1" s="11"/>
      <c r="TN1" s="11"/>
      <c r="TO1" s="11"/>
      <c r="TP1" s="11"/>
      <c r="TQ1" s="11"/>
      <c r="TR1" s="11"/>
      <c r="TS1" s="11"/>
      <c r="TT1" s="11"/>
      <c r="TU1" s="11"/>
      <c r="TV1" s="11"/>
      <c r="TW1" s="11"/>
      <c r="TX1" s="11"/>
      <c r="TY1" s="11"/>
      <c r="TZ1" s="11"/>
      <c r="UA1" s="11"/>
      <c r="UB1" s="11"/>
      <c r="UC1" s="11"/>
      <c r="UD1" s="11"/>
      <c r="UE1" s="11"/>
      <c r="UF1" s="11"/>
      <c r="UG1" s="11"/>
      <c r="UH1" s="11"/>
      <c r="UI1" s="11"/>
      <c r="UJ1" s="11"/>
      <c r="UK1" s="11"/>
      <c r="UL1" s="11"/>
      <c r="UM1" s="11"/>
      <c r="UN1" s="11"/>
      <c r="UO1" s="11"/>
      <c r="UP1" s="11"/>
      <c r="UQ1" s="11"/>
      <c r="UR1" s="11"/>
      <c r="US1" s="11"/>
      <c r="UT1" s="11"/>
      <c r="UU1" s="11"/>
      <c r="UV1" s="11"/>
      <c r="UW1" s="11"/>
      <c r="UX1" s="11"/>
      <c r="UY1" s="11"/>
      <c r="UZ1" s="11"/>
      <c r="VA1" s="11"/>
      <c r="VB1" s="11"/>
      <c r="VC1" s="11"/>
      <c r="VD1" s="11"/>
      <c r="VE1" s="11"/>
      <c r="VF1" s="11"/>
      <c r="VG1" s="11"/>
      <c r="VH1" s="11"/>
      <c r="VI1" s="11"/>
      <c r="VJ1" s="11"/>
      <c r="VK1" s="11"/>
      <c r="VL1" s="11"/>
      <c r="VM1" s="11"/>
      <c r="VN1" s="11"/>
      <c r="VO1" s="11"/>
      <c r="VP1" s="11"/>
      <c r="VQ1" s="11"/>
      <c r="VR1" s="11"/>
      <c r="VS1" s="11"/>
      <c r="VT1" s="11"/>
      <c r="VU1" s="11"/>
      <c r="VV1" s="11"/>
      <c r="VW1" s="11"/>
      <c r="VX1" s="11"/>
      <c r="VY1" s="11"/>
      <c r="VZ1" s="11"/>
      <c r="WA1" s="11"/>
      <c r="WB1" s="11"/>
      <c r="WC1" s="11"/>
      <c r="WD1" s="11"/>
      <c r="WE1" s="11"/>
      <c r="WF1" s="11"/>
      <c r="WG1" s="11"/>
      <c r="WH1" s="11"/>
      <c r="WI1" s="11"/>
      <c r="WJ1" s="11"/>
      <c r="WK1" s="11"/>
      <c r="WL1" s="11"/>
      <c r="WM1" s="11"/>
      <c r="WN1" s="11"/>
      <c r="WO1" s="11"/>
      <c r="WP1" s="11"/>
      <c r="WQ1" s="11"/>
      <c r="WR1" s="11"/>
      <c r="WS1" s="11"/>
      <c r="WT1" s="11"/>
      <c r="WU1" s="11"/>
      <c r="WV1" s="11"/>
      <c r="WW1" s="11"/>
      <c r="WX1" s="11"/>
      <c r="WY1" s="11"/>
      <c r="WZ1" s="11"/>
      <c r="XA1" s="11"/>
      <c r="XB1" s="11"/>
      <c r="XC1" s="11"/>
      <c r="XD1" s="11"/>
      <c r="XE1" s="11"/>
      <c r="XF1" s="11"/>
      <c r="XG1" s="11"/>
      <c r="XH1" s="11"/>
      <c r="XI1" s="11"/>
      <c r="XJ1" s="11"/>
      <c r="XK1" s="11"/>
      <c r="XL1" s="11"/>
      <c r="XM1" s="11"/>
      <c r="XN1" s="11"/>
      <c r="XO1" s="11"/>
      <c r="XP1" s="11"/>
      <c r="XQ1" s="11"/>
      <c r="XR1" s="11"/>
      <c r="XS1" s="11"/>
      <c r="XT1" s="11"/>
      <c r="XU1" s="11"/>
      <c r="XV1" s="11"/>
      <c r="XW1" s="11"/>
      <c r="XX1" s="11"/>
      <c r="XY1" s="11"/>
      <c r="XZ1" s="11"/>
      <c r="YA1" s="11"/>
      <c r="YB1" s="11"/>
      <c r="YC1" s="11"/>
      <c r="YD1" s="11"/>
      <c r="YE1" s="11"/>
      <c r="YF1" s="11"/>
      <c r="YG1" s="11"/>
      <c r="YH1" s="11"/>
      <c r="YI1" s="11"/>
      <c r="YJ1" s="11"/>
      <c r="YK1" s="11"/>
      <c r="YL1" s="11"/>
      <c r="YM1" s="11"/>
      <c r="YN1" s="11"/>
      <c r="YO1" s="11"/>
      <c r="YP1" s="11"/>
      <c r="YQ1" s="11"/>
      <c r="YR1" s="11"/>
      <c r="YS1" s="11"/>
      <c r="YT1" s="11"/>
      <c r="YU1" s="11"/>
      <c r="YV1" s="11"/>
      <c r="YW1" s="11"/>
      <c r="YX1" s="11"/>
      <c r="YY1" s="11"/>
      <c r="YZ1" s="11"/>
      <c r="ZA1" s="11"/>
      <c r="ZB1" s="11"/>
      <c r="ZC1" s="11"/>
      <c r="ZD1" s="11"/>
      <c r="ZE1" s="11"/>
      <c r="ZF1" s="11"/>
      <c r="ZG1" s="11"/>
      <c r="ZH1" s="11"/>
      <c r="ZI1" s="11"/>
      <c r="ZJ1" s="11"/>
      <c r="ZK1" s="11"/>
      <c r="ZL1" s="11"/>
      <c r="ZM1" s="11"/>
      <c r="ZN1" s="11"/>
      <c r="ZO1" s="11"/>
      <c r="ZP1" s="11"/>
      <c r="ZQ1" s="11"/>
      <c r="ZR1" s="11"/>
      <c r="ZS1" s="11"/>
      <c r="ZT1" s="11"/>
      <c r="ZU1" s="11"/>
      <c r="ZV1" s="11"/>
      <c r="ZW1" s="11"/>
      <c r="ZX1" s="11"/>
      <c r="ZY1" s="11"/>
      <c r="ZZ1" s="11"/>
      <c r="AAA1" s="11"/>
      <c r="AAB1" s="11"/>
      <c r="AAC1" s="11"/>
      <c r="AAD1" s="11"/>
      <c r="AAE1" s="11"/>
      <c r="AAF1" s="11"/>
      <c r="AAG1" s="11"/>
      <c r="AAH1" s="11"/>
      <c r="AAI1" s="11"/>
      <c r="AAJ1" s="11"/>
      <c r="AAK1" s="11"/>
      <c r="AAL1" s="11"/>
      <c r="AAM1" s="11"/>
      <c r="AAN1" s="11"/>
      <c r="AAO1" s="11"/>
      <c r="AAP1" s="11"/>
      <c r="AAQ1" s="11"/>
      <c r="AAR1" s="11"/>
      <c r="AAS1" s="11"/>
      <c r="AAT1" s="11"/>
      <c r="AAU1" s="11"/>
      <c r="AAV1" s="11"/>
      <c r="AAW1" s="11"/>
      <c r="AAX1" s="11"/>
      <c r="AAY1" s="11"/>
      <c r="AAZ1" s="11"/>
      <c r="ABA1" s="11"/>
      <c r="ABB1" s="11"/>
      <c r="ABC1" s="11"/>
      <c r="ABD1" s="11"/>
      <c r="ABE1" s="11"/>
      <c r="ABF1" s="11"/>
      <c r="ABG1" s="11"/>
      <c r="ABH1" s="11"/>
      <c r="ABI1" s="11"/>
      <c r="ABJ1" s="11"/>
      <c r="ABK1" s="11"/>
      <c r="ABL1" s="11"/>
      <c r="ABM1" s="11"/>
      <c r="ABN1" s="11"/>
      <c r="ABO1" s="11"/>
      <c r="ABP1" s="11"/>
      <c r="ABQ1" s="11"/>
      <c r="ABR1" s="11"/>
      <c r="ABS1" s="11"/>
      <c r="ABT1" s="11"/>
      <c r="ABU1" s="11"/>
      <c r="ABV1" s="11"/>
      <c r="ABW1" s="11"/>
      <c r="ABX1" s="11"/>
      <c r="ABY1" s="11"/>
      <c r="ABZ1" s="11"/>
      <c r="ACA1" s="11"/>
      <c r="ACB1" s="11"/>
      <c r="ACC1" s="11"/>
      <c r="ACD1" s="11"/>
      <c r="ACE1" s="11"/>
      <c r="ACF1" s="11"/>
      <c r="ACG1" s="11"/>
      <c r="ACH1" s="11"/>
      <c r="ACI1" s="11"/>
      <c r="ACJ1" s="11"/>
      <c r="ACK1" s="11"/>
      <c r="ACL1" s="11"/>
      <c r="ACM1" s="11"/>
      <c r="ACN1" s="11"/>
      <c r="ACO1" s="11"/>
      <c r="ACP1" s="11"/>
      <c r="ACQ1" s="11"/>
      <c r="ACR1" s="11"/>
      <c r="ACS1" s="11"/>
      <c r="ACT1" s="11"/>
      <c r="ACU1" s="11"/>
      <c r="ACV1" s="11"/>
      <c r="ACW1" s="11"/>
      <c r="ACX1" s="11"/>
      <c r="ACY1" s="11"/>
      <c r="ACZ1" s="11"/>
      <c r="ADA1" s="11"/>
      <c r="ADB1" s="11"/>
      <c r="ADC1" s="11"/>
      <c r="ADD1" s="11"/>
      <c r="ADE1" s="11"/>
      <c r="ADF1" s="11"/>
      <c r="ADG1" s="11"/>
      <c r="ADH1" s="11"/>
      <c r="ADI1" s="11"/>
      <c r="ADJ1" s="11"/>
      <c r="ADK1" s="11"/>
      <c r="ADL1" s="11"/>
      <c r="ADM1" s="11"/>
      <c r="ADN1" s="11"/>
      <c r="ADO1" s="11"/>
      <c r="ADP1" s="11"/>
      <c r="ADQ1" s="11"/>
      <c r="ADR1" s="11"/>
      <c r="ADS1" s="11"/>
      <c r="ADT1" s="11"/>
      <c r="ADU1" s="11"/>
      <c r="ADV1" s="11"/>
      <c r="ADW1" s="11"/>
      <c r="ADX1" s="11"/>
      <c r="ADY1" s="11"/>
      <c r="ADZ1" s="11"/>
      <c r="AEA1" s="11"/>
      <c r="AEB1" s="11"/>
      <c r="AEC1" s="11"/>
      <c r="AED1" s="11"/>
      <c r="AEE1" s="11"/>
      <c r="AEF1" s="11"/>
      <c r="AEG1" s="11"/>
      <c r="AEH1" s="11"/>
      <c r="AEI1" s="11"/>
      <c r="AEJ1" s="11"/>
      <c r="AEK1" s="11"/>
      <c r="AEL1" s="11"/>
      <c r="AEM1" s="11"/>
      <c r="AEN1" s="11"/>
      <c r="AEO1" s="11"/>
      <c r="AEP1" s="11"/>
      <c r="AEQ1" s="11"/>
      <c r="AER1" s="11"/>
      <c r="AES1" s="11"/>
      <c r="AET1" s="11"/>
      <c r="AEU1" s="11"/>
      <c r="AEV1" s="11"/>
      <c r="AEW1" s="11"/>
      <c r="AEX1" s="11"/>
      <c r="AEY1" s="11"/>
      <c r="AEZ1" s="11"/>
      <c r="AFA1" s="11"/>
      <c r="AFB1" s="11"/>
      <c r="AFC1" s="11"/>
      <c r="AFD1" s="11"/>
      <c r="AFE1" s="11"/>
      <c r="AFF1" s="11"/>
      <c r="AFG1" s="11"/>
      <c r="AFH1" s="11"/>
      <c r="AFI1" s="11"/>
      <c r="AFJ1" s="11"/>
      <c r="AFK1" s="11"/>
      <c r="AFL1" s="11"/>
      <c r="AFM1" s="11"/>
      <c r="AFN1" s="11"/>
      <c r="AFO1" s="11"/>
      <c r="AFP1" s="11"/>
      <c r="AFQ1" s="11"/>
      <c r="AFR1" s="11"/>
      <c r="AFS1" s="11"/>
      <c r="AFT1" s="11"/>
      <c r="AFU1" s="11"/>
      <c r="AFV1" s="11"/>
      <c r="AFW1" s="11"/>
      <c r="AFX1" s="11"/>
      <c r="AFY1" s="11"/>
      <c r="AFZ1" s="11"/>
      <c r="AGA1" s="11"/>
      <c r="AGB1" s="11"/>
      <c r="AGC1" s="11"/>
      <c r="AGD1" s="11"/>
      <c r="AGE1" s="11"/>
      <c r="AGF1" s="11"/>
      <c r="AGG1" s="11"/>
      <c r="AGH1" s="11"/>
      <c r="AGI1" s="11"/>
      <c r="AGJ1" s="11"/>
      <c r="AGK1" s="11"/>
      <c r="AGL1" s="11"/>
      <c r="AGM1" s="11"/>
      <c r="AGN1" s="11"/>
      <c r="AGO1" s="11"/>
      <c r="AGP1" s="11"/>
      <c r="AGQ1" s="11"/>
      <c r="AGR1" s="11"/>
      <c r="AGS1" s="11"/>
      <c r="AGT1" s="11"/>
      <c r="AGU1" s="11"/>
      <c r="AGV1" s="11"/>
      <c r="AGW1" s="11"/>
      <c r="AGX1" s="11"/>
      <c r="AGY1" s="11"/>
      <c r="AGZ1" s="11"/>
      <c r="AHA1" s="11"/>
      <c r="AHB1" s="11"/>
      <c r="AHC1" s="11"/>
      <c r="AHD1" s="11"/>
      <c r="AHE1" s="11"/>
      <c r="AHF1" s="11"/>
      <c r="AHG1" s="11"/>
      <c r="AHH1" s="11"/>
      <c r="AHI1" s="11"/>
      <c r="AHJ1" s="11"/>
      <c r="AHK1" s="11"/>
      <c r="AHL1" s="11"/>
      <c r="AHM1" s="11"/>
      <c r="AHN1" s="11"/>
      <c r="AHO1" s="11"/>
      <c r="AHP1" s="11"/>
      <c r="AHQ1" s="11"/>
      <c r="AHR1" s="11"/>
      <c r="AHS1" s="11"/>
      <c r="AHT1" s="11"/>
      <c r="AHU1" s="11"/>
      <c r="AHV1" s="11"/>
      <c r="AHW1" s="11"/>
      <c r="AHX1" s="11"/>
      <c r="AHY1" s="11"/>
      <c r="AHZ1" s="11"/>
      <c r="AIA1" s="11"/>
      <c r="AIB1" s="11"/>
      <c r="AIC1" s="11"/>
      <c r="AID1" s="11"/>
      <c r="AIE1" s="11"/>
      <c r="AIF1" s="11"/>
      <c r="AIG1" s="11"/>
      <c r="AIH1" s="11"/>
      <c r="AII1" s="11"/>
      <c r="AIJ1" s="11"/>
      <c r="AIK1" s="11"/>
      <c r="AIL1" s="11"/>
      <c r="AIM1" s="11"/>
      <c r="AIN1" s="11"/>
      <c r="AIO1" s="11"/>
      <c r="AIP1" s="11"/>
      <c r="AIQ1" s="11"/>
      <c r="AIR1" s="11"/>
      <c r="AIS1" s="11"/>
      <c r="AIT1" s="11"/>
      <c r="AIU1" s="11"/>
      <c r="AIV1" s="11"/>
      <c r="AIW1" s="11"/>
      <c r="AIX1" s="11"/>
      <c r="AIY1" s="11"/>
      <c r="AIZ1" s="11"/>
      <c r="AJA1" s="11"/>
      <c r="AJB1" s="11"/>
      <c r="AJC1" s="11"/>
      <c r="AJD1" s="11"/>
      <c r="AJE1" s="11"/>
      <c r="AJF1" s="11"/>
      <c r="AJG1" s="11"/>
      <c r="AJH1" s="11"/>
      <c r="AJI1" s="11"/>
      <c r="AJJ1" s="11"/>
      <c r="AJK1" s="11"/>
      <c r="AJL1" s="11"/>
      <c r="AJM1" s="11"/>
      <c r="AJN1" s="11"/>
      <c r="AJO1" s="11"/>
      <c r="AJP1" s="11"/>
      <c r="AJQ1" s="11"/>
      <c r="AJR1" s="11"/>
      <c r="AJS1" s="11"/>
      <c r="AJT1" s="11"/>
      <c r="AJU1" s="11"/>
      <c r="AJV1" s="11"/>
      <c r="AJW1" s="11"/>
      <c r="AJX1" s="11"/>
      <c r="AJY1" s="11"/>
      <c r="AJZ1" s="11"/>
      <c r="AKA1" s="11"/>
      <c r="AKB1" s="11"/>
      <c r="AKC1" s="11"/>
      <c r="AKD1" s="11"/>
      <c r="AKE1" s="11"/>
      <c r="AKF1" s="11"/>
      <c r="AKG1" s="11"/>
      <c r="AKH1" s="11"/>
      <c r="AKI1" s="11"/>
      <c r="AKJ1" s="11"/>
      <c r="AKK1" s="11"/>
      <c r="AKL1" s="11"/>
      <c r="AKM1" s="11"/>
      <c r="AKN1" s="11"/>
      <c r="AKO1" s="11"/>
      <c r="AKP1" s="11"/>
      <c r="AKQ1" s="11"/>
      <c r="AKR1" s="11"/>
      <c r="AKS1" s="11"/>
      <c r="AKT1" s="11"/>
      <c r="AKU1" s="11"/>
      <c r="AKV1" s="11"/>
      <c r="AKW1" s="11"/>
      <c r="AKX1" s="11"/>
      <c r="AKY1" s="11"/>
      <c r="AKZ1" s="11"/>
      <c r="ALA1" s="11"/>
      <c r="ALB1" s="11"/>
      <c r="ALC1" s="11"/>
      <c r="ALD1" s="11"/>
      <c r="ALE1" s="11"/>
      <c r="ALF1" s="11"/>
      <c r="ALG1" s="11"/>
      <c r="ALH1" s="11"/>
      <c r="ALI1" s="11"/>
      <c r="ALJ1" s="11"/>
      <c r="ALK1" s="11"/>
      <c r="ALL1" s="11"/>
      <c r="ALM1" s="11"/>
      <c r="ALN1" s="11"/>
      <c r="ALO1" s="11"/>
      <c r="ALP1" s="11"/>
      <c r="ALQ1" s="11"/>
      <c r="ALR1" s="11"/>
      <c r="ALS1" s="11"/>
      <c r="ALT1" s="11"/>
      <c r="ALU1" s="11"/>
      <c r="ALV1" s="11"/>
      <c r="ALW1" s="11"/>
      <c r="ALX1" s="11"/>
      <c r="ALY1" s="11"/>
      <c r="ALZ1" s="11"/>
      <c r="AMA1" s="11"/>
      <c r="AMB1" s="11"/>
      <c r="AMC1" s="11"/>
      <c r="AMD1" s="11"/>
      <c r="AME1" s="11"/>
      <c r="AMF1" s="11"/>
      <c r="AMG1" s="11"/>
      <c r="AMH1" s="11"/>
      <c r="AMI1" s="11"/>
      <c r="AMJ1" s="11"/>
    </row>
    <row r="2" spans="1:1024" ht="25.5" x14ac:dyDescent="0.2">
      <c r="A2" s="4" t="s">
        <v>51</v>
      </c>
      <c r="B2" s="4" t="s">
        <v>139</v>
      </c>
      <c r="C2" s="4" t="s">
        <v>140</v>
      </c>
      <c r="D2" s="4" t="s">
        <v>141</v>
      </c>
      <c r="E2" s="4" t="s">
        <v>60</v>
      </c>
    </row>
    <row r="3" spans="1:1024" ht="25.5" x14ac:dyDescent="0.2">
      <c r="A3" s="7" t="s">
        <v>142</v>
      </c>
      <c r="B3" s="7" t="s">
        <v>143</v>
      </c>
      <c r="D3" s="7" t="s">
        <v>144</v>
      </c>
      <c r="E3" s="8">
        <v>43800</v>
      </c>
    </row>
    <row r="4" spans="1:1024" x14ac:dyDescent="0.2">
      <c r="A4" s="7" t="s">
        <v>145</v>
      </c>
      <c r="B4" s="7" t="s">
        <v>145</v>
      </c>
      <c r="D4" s="10"/>
      <c r="E4" s="8">
        <v>43800</v>
      </c>
    </row>
    <row r="5" spans="1:1024" ht="38.25" x14ac:dyDescent="0.2">
      <c r="A5" s="7" t="s">
        <v>146</v>
      </c>
      <c r="B5" s="7" t="s">
        <v>147</v>
      </c>
      <c r="C5" s="7" t="s">
        <v>148</v>
      </c>
      <c r="E5" s="8">
        <v>43800</v>
      </c>
    </row>
    <row r="6" spans="1:1024" ht="38.25" x14ac:dyDescent="0.2">
      <c r="A6" s="7" t="s">
        <v>149</v>
      </c>
      <c r="B6" s="7" t="s">
        <v>147</v>
      </c>
      <c r="C6" s="7" t="s">
        <v>150</v>
      </c>
      <c r="E6" s="8">
        <v>43800</v>
      </c>
    </row>
    <row r="7" spans="1:1024" ht="38.25" x14ac:dyDescent="0.2">
      <c r="A7" s="7" t="s">
        <v>151</v>
      </c>
      <c r="B7" s="7" t="s">
        <v>147</v>
      </c>
      <c r="C7" s="7" t="s">
        <v>150</v>
      </c>
      <c r="E7" s="8">
        <v>43800</v>
      </c>
    </row>
    <row r="8" spans="1:1024" ht="25.5" x14ac:dyDescent="0.2">
      <c r="A8" s="7" t="s">
        <v>152</v>
      </c>
      <c r="B8" s="7" t="s">
        <v>153</v>
      </c>
      <c r="C8" s="7" t="s">
        <v>154</v>
      </c>
      <c r="E8" s="8">
        <v>43800</v>
      </c>
    </row>
    <row r="9" spans="1:1024" ht="38.25" x14ac:dyDescent="0.2">
      <c r="A9" s="7" t="s">
        <v>155</v>
      </c>
      <c r="B9" s="7" t="s">
        <v>143</v>
      </c>
      <c r="D9" s="7" t="s">
        <v>156</v>
      </c>
      <c r="E9" s="8">
        <v>43800</v>
      </c>
    </row>
    <row r="10" spans="1:1024" x14ac:dyDescent="0.2">
      <c r="A10" s="7" t="s">
        <v>157</v>
      </c>
      <c r="B10" s="7" t="s">
        <v>158</v>
      </c>
      <c r="E10" s="8">
        <v>43800</v>
      </c>
    </row>
  </sheetData>
  <pageMargins left="0" right="0" top="0.39370078740157483" bottom="0.39370078740157483" header="0" footer="0"/>
  <headerFooter>
    <oddHeader>&amp;C&amp;A</oddHeader>
    <oddFooter>&amp;CPagina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4"/>
  <dimension ref="A1:AMJ45"/>
  <sheetViews>
    <sheetView workbookViewId="0">
      <pane xSplit="1" ySplit="2" topLeftCell="B3" activePane="bottomRight" state="frozen"/>
      <selection pane="topRight"/>
      <selection pane="bottomLeft"/>
      <selection pane="bottomRight"/>
    </sheetView>
  </sheetViews>
  <sheetFormatPr defaultColWidth="8.75" defaultRowHeight="12.75" x14ac:dyDescent="0.2"/>
  <cols>
    <col min="1" max="1" width="47.625" style="7" customWidth="1"/>
    <col min="2" max="2" width="17.5" style="7" customWidth="1"/>
    <col min="3" max="3" width="48.375" style="7" customWidth="1"/>
    <col min="4" max="4" width="12.125" style="7" customWidth="1"/>
    <col min="5" max="1024" width="68.875" style="7" customWidth="1"/>
    <col min="1025" max="16384" width="8.75" style="10"/>
  </cols>
  <sheetData>
    <row r="1" spans="1:1024" s="9" customFormat="1" x14ac:dyDescent="0.2">
      <c r="A1" s="11" t="str">
        <f>CONCATENATE("Zaakobjecttypen bij zaaktype ",Zaaktype!B2,": ",Zaaktype!B3)</f>
        <v>Zaakobjecttypen bij zaaktype 14: Voorlopige voorziening behandelen</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1"/>
      <c r="IN1" s="11"/>
      <c r="IO1" s="11"/>
      <c r="IP1" s="11"/>
      <c r="IQ1" s="11"/>
      <c r="IR1" s="11"/>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1"/>
      <c r="KJ1" s="11"/>
      <c r="KK1" s="11"/>
      <c r="KL1" s="11"/>
      <c r="KM1" s="11"/>
      <c r="KN1" s="11"/>
      <c r="KO1" s="11"/>
      <c r="KP1" s="11"/>
      <c r="KQ1" s="11"/>
      <c r="KR1" s="11"/>
      <c r="KS1" s="11"/>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1"/>
      <c r="MF1" s="11"/>
      <c r="MG1" s="11"/>
      <c r="MH1" s="11"/>
      <c r="MI1" s="11"/>
      <c r="MJ1" s="11"/>
      <c r="MK1" s="11"/>
      <c r="ML1" s="11"/>
      <c r="MM1" s="11"/>
      <c r="MN1" s="11"/>
      <c r="MO1" s="11"/>
      <c r="MP1" s="11"/>
      <c r="MQ1" s="11"/>
      <c r="MR1" s="11"/>
      <c r="MS1" s="11"/>
      <c r="MT1" s="11"/>
      <c r="MU1" s="11"/>
      <c r="MV1" s="11"/>
      <c r="MW1" s="11"/>
      <c r="MX1" s="11"/>
      <c r="MY1" s="11"/>
      <c r="MZ1" s="11"/>
      <c r="NA1" s="11"/>
      <c r="NB1" s="11"/>
      <c r="NC1" s="11"/>
      <c r="ND1" s="11"/>
      <c r="NE1" s="11"/>
      <c r="NF1" s="11"/>
      <c r="NG1" s="11"/>
      <c r="NH1" s="11"/>
      <c r="NI1" s="11"/>
      <c r="NJ1" s="11"/>
      <c r="NK1" s="11"/>
      <c r="NL1" s="11"/>
      <c r="NM1" s="11"/>
      <c r="NN1" s="11"/>
      <c r="NO1" s="11"/>
      <c r="NP1" s="11"/>
      <c r="NQ1" s="11"/>
      <c r="NR1" s="11"/>
      <c r="NS1" s="11"/>
      <c r="NT1" s="11"/>
      <c r="NU1" s="11"/>
      <c r="NV1" s="11"/>
      <c r="NW1" s="11"/>
      <c r="NX1" s="11"/>
      <c r="NY1" s="11"/>
      <c r="NZ1" s="11"/>
      <c r="OA1" s="11"/>
      <c r="OB1" s="11"/>
      <c r="OC1" s="11"/>
      <c r="OD1" s="11"/>
      <c r="OE1" s="11"/>
      <c r="OF1" s="11"/>
      <c r="OG1" s="11"/>
      <c r="OH1" s="11"/>
      <c r="OI1" s="11"/>
      <c r="OJ1" s="11"/>
      <c r="OK1" s="11"/>
      <c r="OL1" s="11"/>
      <c r="OM1" s="11"/>
      <c r="ON1" s="11"/>
      <c r="OO1" s="11"/>
      <c r="OP1" s="11"/>
      <c r="OQ1" s="11"/>
      <c r="OR1" s="11"/>
      <c r="OS1" s="11"/>
      <c r="OT1" s="11"/>
      <c r="OU1" s="11"/>
      <c r="OV1" s="11"/>
      <c r="OW1" s="11"/>
      <c r="OX1" s="11"/>
      <c r="OY1" s="11"/>
      <c r="OZ1" s="11"/>
      <c r="PA1" s="11"/>
      <c r="PB1" s="11"/>
      <c r="PC1" s="11"/>
      <c r="PD1" s="11"/>
      <c r="PE1" s="11"/>
      <c r="PF1" s="11"/>
      <c r="PG1" s="11"/>
      <c r="PH1" s="11"/>
      <c r="PI1" s="11"/>
      <c r="PJ1" s="11"/>
      <c r="PK1" s="11"/>
      <c r="PL1" s="11"/>
      <c r="PM1" s="11"/>
      <c r="PN1" s="11"/>
      <c r="PO1" s="11"/>
      <c r="PP1" s="11"/>
      <c r="PQ1" s="11"/>
      <c r="PR1" s="11"/>
      <c r="PS1" s="11"/>
      <c r="PT1" s="11"/>
      <c r="PU1" s="11"/>
      <c r="PV1" s="11"/>
      <c r="PW1" s="11"/>
      <c r="PX1" s="11"/>
      <c r="PY1" s="11"/>
      <c r="PZ1" s="11"/>
      <c r="QA1" s="11"/>
      <c r="QB1" s="11"/>
      <c r="QC1" s="11"/>
      <c r="QD1" s="11"/>
      <c r="QE1" s="11"/>
      <c r="QF1" s="11"/>
      <c r="QG1" s="11"/>
      <c r="QH1" s="11"/>
      <c r="QI1" s="11"/>
      <c r="QJ1" s="11"/>
      <c r="QK1" s="11"/>
      <c r="QL1" s="11"/>
      <c r="QM1" s="11"/>
      <c r="QN1" s="11"/>
      <c r="QO1" s="11"/>
      <c r="QP1" s="11"/>
      <c r="QQ1" s="11"/>
      <c r="QR1" s="11"/>
      <c r="QS1" s="11"/>
      <c r="QT1" s="11"/>
      <c r="QU1" s="11"/>
      <c r="QV1" s="11"/>
      <c r="QW1" s="11"/>
      <c r="QX1" s="11"/>
      <c r="QY1" s="11"/>
      <c r="QZ1" s="11"/>
      <c r="RA1" s="11"/>
      <c r="RB1" s="11"/>
      <c r="RC1" s="11"/>
      <c r="RD1" s="11"/>
      <c r="RE1" s="11"/>
      <c r="RF1" s="11"/>
      <c r="RG1" s="11"/>
      <c r="RH1" s="11"/>
      <c r="RI1" s="11"/>
      <c r="RJ1" s="11"/>
      <c r="RK1" s="11"/>
      <c r="RL1" s="11"/>
      <c r="RM1" s="11"/>
      <c r="RN1" s="11"/>
      <c r="RO1" s="11"/>
      <c r="RP1" s="11"/>
      <c r="RQ1" s="11"/>
      <c r="RR1" s="11"/>
      <c r="RS1" s="11"/>
      <c r="RT1" s="11"/>
      <c r="RU1" s="11"/>
      <c r="RV1" s="11"/>
      <c r="RW1" s="11"/>
      <c r="RX1" s="11"/>
      <c r="RY1" s="11"/>
      <c r="RZ1" s="11"/>
      <c r="SA1" s="11"/>
      <c r="SB1" s="11"/>
      <c r="SC1" s="11"/>
      <c r="SD1" s="11"/>
      <c r="SE1" s="11"/>
      <c r="SF1" s="11"/>
      <c r="SG1" s="11"/>
      <c r="SH1" s="11"/>
      <c r="SI1" s="11"/>
      <c r="SJ1" s="11"/>
      <c r="SK1" s="11"/>
      <c r="SL1" s="11"/>
      <c r="SM1" s="11"/>
      <c r="SN1" s="11"/>
      <c r="SO1" s="11"/>
      <c r="SP1" s="11"/>
      <c r="SQ1" s="11"/>
      <c r="SR1" s="11"/>
      <c r="SS1" s="11"/>
      <c r="ST1" s="11"/>
      <c r="SU1" s="11"/>
      <c r="SV1" s="11"/>
      <c r="SW1" s="11"/>
      <c r="SX1" s="11"/>
      <c r="SY1" s="11"/>
      <c r="SZ1" s="11"/>
      <c r="TA1" s="11"/>
      <c r="TB1" s="11"/>
      <c r="TC1" s="11"/>
      <c r="TD1" s="11"/>
      <c r="TE1" s="11"/>
      <c r="TF1" s="11"/>
      <c r="TG1" s="11"/>
      <c r="TH1" s="11"/>
      <c r="TI1" s="11"/>
      <c r="TJ1" s="11"/>
      <c r="TK1" s="11"/>
      <c r="TL1" s="11"/>
      <c r="TM1" s="11"/>
      <c r="TN1" s="11"/>
      <c r="TO1" s="11"/>
      <c r="TP1" s="11"/>
      <c r="TQ1" s="11"/>
      <c r="TR1" s="11"/>
      <c r="TS1" s="11"/>
      <c r="TT1" s="11"/>
      <c r="TU1" s="11"/>
      <c r="TV1" s="11"/>
      <c r="TW1" s="11"/>
      <c r="TX1" s="11"/>
      <c r="TY1" s="11"/>
      <c r="TZ1" s="11"/>
      <c r="UA1" s="11"/>
      <c r="UB1" s="11"/>
      <c r="UC1" s="11"/>
      <c r="UD1" s="11"/>
      <c r="UE1" s="11"/>
      <c r="UF1" s="11"/>
      <c r="UG1" s="11"/>
      <c r="UH1" s="11"/>
      <c r="UI1" s="11"/>
      <c r="UJ1" s="11"/>
      <c r="UK1" s="11"/>
      <c r="UL1" s="11"/>
      <c r="UM1" s="11"/>
      <c r="UN1" s="11"/>
      <c r="UO1" s="11"/>
      <c r="UP1" s="11"/>
      <c r="UQ1" s="11"/>
      <c r="UR1" s="11"/>
      <c r="US1" s="11"/>
      <c r="UT1" s="11"/>
      <c r="UU1" s="11"/>
      <c r="UV1" s="11"/>
      <c r="UW1" s="11"/>
      <c r="UX1" s="11"/>
      <c r="UY1" s="11"/>
      <c r="UZ1" s="11"/>
      <c r="VA1" s="11"/>
      <c r="VB1" s="11"/>
      <c r="VC1" s="11"/>
      <c r="VD1" s="11"/>
      <c r="VE1" s="11"/>
      <c r="VF1" s="11"/>
      <c r="VG1" s="11"/>
      <c r="VH1" s="11"/>
      <c r="VI1" s="11"/>
      <c r="VJ1" s="11"/>
      <c r="VK1" s="11"/>
      <c r="VL1" s="11"/>
      <c r="VM1" s="11"/>
      <c r="VN1" s="11"/>
      <c r="VO1" s="11"/>
      <c r="VP1" s="11"/>
      <c r="VQ1" s="11"/>
      <c r="VR1" s="11"/>
      <c r="VS1" s="11"/>
      <c r="VT1" s="11"/>
      <c r="VU1" s="11"/>
      <c r="VV1" s="11"/>
      <c r="VW1" s="11"/>
      <c r="VX1" s="11"/>
      <c r="VY1" s="11"/>
      <c r="VZ1" s="11"/>
      <c r="WA1" s="11"/>
      <c r="WB1" s="11"/>
      <c r="WC1" s="11"/>
      <c r="WD1" s="11"/>
      <c r="WE1" s="11"/>
      <c r="WF1" s="11"/>
      <c r="WG1" s="11"/>
      <c r="WH1" s="11"/>
      <c r="WI1" s="11"/>
      <c r="WJ1" s="11"/>
      <c r="WK1" s="11"/>
      <c r="WL1" s="11"/>
      <c r="WM1" s="11"/>
      <c r="WN1" s="11"/>
      <c r="WO1" s="11"/>
      <c r="WP1" s="11"/>
      <c r="WQ1" s="11"/>
      <c r="WR1" s="11"/>
      <c r="WS1" s="11"/>
      <c r="WT1" s="11"/>
      <c r="WU1" s="11"/>
      <c r="WV1" s="11"/>
      <c r="WW1" s="11"/>
      <c r="WX1" s="11"/>
      <c r="WY1" s="11"/>
      <c r="WZ1" s="11"/>
      <c r="XA1" s="11"/>
      <c r="XB1" s="11"/>
      <c r="XC1" s="11"/>
      <c r="XD1" s="11"/>
      <c r="XE1" s="11"/>
      <c r="XF1" s="11"/>
      <c r="XG1" s="11"/>
      <c r="XH1" s="11"/>
      <c r="XI1" s="11"/>
      <c r="XJ1" s="11"/>
      <c r="XK1" s="11"/>
      <c r="XL1" s="11"/>
      <c r="XM1" s="11"/>
      <c r="XN1" s="11"/>
      <c r="XO1" s="11"/>
      <c r="XP1" s="11"/>
      <c r="XQ1" s="11"/>
      <c r="XR1" s="11"/>
      <c r="XS1" s="11"/>
      <c r="XT1" s="11"/>
      <c r="XU1" s="11"/>
      <c r="XV1" s="11"/>
      <c r="XW1" s="11"/>
      <c r="XX1" s="11"/>
      <c r="XY1" s="11"/>
      <c r="XZ1" s="11"/>
      <c r="YA1" s="11"/>
      <c r="YB1" s="11"/>
      <c r="YC1" s="11"/>
      <c r="YD1" s="11"/>
      <c r="YE1" s="11"/>
      <c r="YF1" s="11"/>
      <c r="YG1" s="11"/>
      <c r="YH1" s="11"/>
      <c r="YI1" s="11"/>
      <c r="YJ1" s="11"/>
      <c r="YK1" s="11"/>
      <c r="YL1" s="11"/>
      <c r="YM1" s="11"/>
      <c r="YN1" s="11"/>
      <c r="YO1" s="11"/>
      <c r="YP1" s="11"/>
      <c r="YQ1" s="11"/>
      <c r="YR1" s="11"/>
      <c r="YS1" s="11"/>
      <c r="YT1" s="11"/>
      <c r="YU1" s="11"/>
      <c r="YV1" s="11"/>
      <c r="YW1" s="11"/>
      <c r="YX1" s="11"/>
      <c r="YY1" s="11"/>
      <c r="YZ1" s="11"/>
      <c r="ZA1" s="11"/>
      <c r="ZB1" s="11"/>
      <c r="ZC1" s="11"/>
      <c r="ZD1" s="11"/>
      <c r="ZE1" s="11"/>
      <c r="ZF1" s="11"/>
      <c r="ZG1" s="11"/>
      <c r="ZH1" s="11"/>
      <c r="ZI1" s="11"/>
      <c r="ZJ1" s="11"/>
      <c r="ZK1" s="11"/>
      <c r="ZL1" s="11"/>
      <c r="ZM1" s="11"/>
      <c r="ZN1" s="11"/>
      <c r="ZO1" s="11"/>
      <c r="ZP1" s="11"/>
      <c r="ZQ1" s="11"/>
      <c r="ZR1" s="11"/>
      <c r="ZS1" s="11"/>
      <c r="ZT1" s="11"/>
      <c r="ZU1" s="11"/>
      <c r="ZV1" s="11"/>
      <c r="ZW1" s="11"/>
      <c r="ZX1" s="11"/>
      <c r="ZY1" s="11"/>
      <c r="ZZ1" s="11"/>
      <c r="AAA1" s="11"/>
      <c r="AAB1" s="11"/>
      <c r="AAC1" s="11"/>
      <c r="AAD1" s="11"/>
      <c r="AAE1" s="11"/>
      <c r="AAF1" s="11"/>
      <c r="AAG1" s="11"/>
      <c r="AAH1" s="11"/>
      <c r="AAI1" s="11"/>
      <c r="AAJ1" s="11"/>
      <c r="AAK1" s="11"/>
      <c r="AAL1" s="11"/>
      <c r="AAM1" s="11"/>
      <c r="AAN1" s="11"/>
      <c r="AAO1" s="11"/>
      <c r="AAP1" s="11"/>
      <c r="AAQ1" s="11"/>
      <c r="AAR1" s="11"/>
      <c r="AAS1" s="11"/>
      <c r="AAT1" s="11"/>
      <c r="AAU1" s="11"/>
      <c r="AAV1" s="11"/>
      <c r="AAW1" s="11"/>
      <c r="AAX1" s="11"/>
      <c r="AAY1" s="11"/>
      <c r="AAZ1" s="11"/>
      <c r="ABA1" s="11"/>
      <c r="ABB1" s="11"/>
      <c r="ABC1" s="11"/>
      <c r="ABD1" s="11"/>
      <c r="ABE1" s="11"/>
      <c r="ABF1" s="11"/>
      <c r="ABG1" s="11"/>
      <c r="ABH1" s="11"/>
      <c r="ABI1" s="11"/>
      <c r="ABJ1" s="11"/>
      <c r="ABK1" s="11"/>
      <c r="ABL1" s="11"/>
      <c r="ABM1" s="11"/>
      <c r="ABN1" s="11"/>
      <c r="ABO1" s="11"/>
      <c r="ABP1" s="11"/>
      <c r="ABQ1" s="11"/>
      <c r="ABR1" s="11"/>
      <c r="ABS1" s="11"/>
      <c r="ABT1" s="11"/>
      <c r="ABU1" s="11"/>
      <c r="ABV1" s="11"/>
      <c r="ABW1" s="11"/>
      <c r="ABX1" s="11"/>
      <c r="ABY1" s="11"/>
      <c r="ABZ1" s="11"/>
      <c r="ACA1" s="11"/>
      <c r="ACB1" s="11"/>
      <c r="ACC1" s="11"/>
      <c r="ACD1" s="11"/>
      <c r="ACE1" s="11"/>
      <c r="ACF1" s="11"/>
      <c r="ACG1" s="11"/>
      <c r="ACH1" s="11"/>
      <c r="ACI1" s="11"/>
      <c r="ACJ1" s="11"/>
      <c r="ACK1" s="11"/>
      <c r="ACL1" s="11"/>
      <c r="ACM1" s="11"/>
      <c r="ACN1" s="11"/>
      <c r="ACO1" s="11"/>
      <c r="ACP1" s="11"/>
      <c r="ACQ1" s="11"/>
      <c r="ACR1" s="11"/>
      <c r="ACS1" s="11"/>
      <c r="ACT1" s="11"/>
      <c r="ACU1" s="11"/>
      <c r="ACV1" s="11"/>
      <c r="ACW1" s="11"/>
      <c r="ACX1" s="11"/>
      <c r="ACY1" s="11"/>
      <c r="ACZ1" s="11"/>
      <c r="ADA1" s="11"/>
      <c r="ADB1" s="11"/>
      <c r="ADC1" s="11"/>
      <c r="ADD1" s="11"/>
      <c r="ADE1" s="11"/>
      <c r="ADF1" s="11"/>
      <c r="ADG1" s="11"/>
      <c r="ADH1" s="11"/>
      <c r="ADI1" s="11"/>
      <c r="ADJ1" s="11"/>
      <c r="ADK1" s="11"/>
      <c r="ADL1" s="11"/>
      <c r="ADM1" s="11"/>
      <c r="ADN1" s="11"/>
      <c r="ADO1" s="11"/>
      <c r="ADP1" s="11"/>
      <c r="ADQ1" s="11"/>
      <c r="ADR1" s="11"/>
      <c r="ADS1" s="11"/>
      <c r="ADT1" s="11"/>
      <c r="ADU1" s="11"/>
      <c r="ADV1" s="11"/>
      <c r="ADW1" s="11"/>
      <c r="ADX1" s="11"/>
      <c r="ADY1" s="11"/>
      <c r="ADZ1" s="11"/>
      <c r="AEA1" s="11"/>
      <c r="AEB1" s="11"/>
      <c r="AEC1" s="11"/>
      <c r="AED1" s="11"/>
      <c r="AEE1" s="11"/>
      <c r="AEF1" s="11"/>
      <c r="AEG1" s="11"/>
      <c r="AEH1" s="11"/>
      <c r="AEI1" s="11"/>
      <c r="AEJ1" s="11"/>
      <c r="AEK1" s="11"/>
      <c r="AEL1" s="11"/>
      <c r="AEM1" s="11"/>
      <c r="AEN1" s="11"/>
      <c r="AEO1" s="11"/>
      <c r="AEP1" s="11"/>
      <c r="AEQ1" s="11"/>
      <c r="AER1" s="11"/>
      <c r="AES1" s="11"/>
      <c r="AET1" s="11"/>
      <c r="AEU1" s="11"/>
      <c r="AEV1" s="11"/>
      <c r="AEW1" s="11"/>
      <c r="AEX1" s="11"/>
      <c r="AEY1" s="11"/>
      <c r="AEZ1" s="11"/>
      <c r="AFA1" s="11"/>
      <c r="AFB1" s="11"/>
      <c r="AFC1" s="11"/>
      <c r="AFD1" s="11"/>
      <c r="AFE1" s="11"/>
      <c r="AFF1" s="11"/>
      <c r="AFG1" s="11"/>
      <c r="AFH1" s="11"/>
      <c r="AFI1" s="11"/>
      <c r="AFJ1" s="11"/>
      <c r="AFK1" s="11"/>
      <c r="AFL1" s="11"/>
      <c r="AFM1" s="11"/>
      <c r="AFN1" s="11"/>
      <c r="AFO1" s="11"/>
      <c r="AFP1" s="11"/>
      <c r="AFQ1" s="11"/>
      <c r="AFR1" s="11"/>
      <c r="AFS1" s="11"/>
      <c r="AFT1" s="11"/>
      <c r="AFU1" s="11"/>
      <c r="AFV1" s="11"/>
      <c r="AFW1" s="11"/>
      <c r="AFX1" s="11"/>
      <c r="AFY1" s="11"/>
      <c r="AFZ1" s="11"/>
      <c r="AGA1" s="11"/>
      <c r="AGB1" s="11"/>
      <c r="AGC1" s="11"/>
      <c r="AGD1" s="11"/>
      <c r="AGE1" s="11"/>
      <c r="AGF1" s="11"/>
      <c r="AGG1" s="11"/>
      <c r="AGH1" s="11"/>
      <c r="AGI1" s="11"/>
      <c r="AGJ1" s="11"/>
      <c r="AGK1" s="11"/>
      <c r="AGL1" s="11"/>
      <c r="AGM1" s="11"/>
      <c r="AGN1" s="11"/>
      <c r="AGO1" s="11"/>
      <c r="AGP1" s="11"/>
      <c r="AGQ1" s="11"/>
      <c r="AGR1" s="11"/>
      <c r="AGS1" s="11"/>
      <c r="AGT1" s="11"/>
      <c r="AGU1" s="11"/>
      <c r="AGV1" s="11"/>
      <c r="AGW1" s="11"/>
      <c r="AGX1" s="11"/>
      <c r="AGY1" s="11"/>
      <c r="AGZ1" s="11"/>
      <c r="AHA1" s="11"/>
      <c r="AHB1" s="11"/>
      <c r="AHC1" s="11"/>
      <c r="AHD1" s="11"/>
      <c r="AHE1" s="11"/>
      <c r="AHF1" s="11"/>
      <c r="AHG1" s="11"/>
      <c r="AHH1" s="11"/>
      <c r="AHI1" s="11"/>
      <c r="AHJ1" s="11"/>
      <c r="AHK1" s="11"/>
      <c r="AHL1" s="11"/>
      <c r="AHM1" s="11"/>
      <c r="AHN1" s="11"/>
      <c r="AHO1" s="11"/>
      <c r="AHP1" s="11"/>
      <c r="AHQ1" s="11"/>
      <c r="AHR1" s="11"/>
      <c r="AHS1" s="11"/>
      <c r="AHT1" s="11"/>
      <c r="AHU1" s="11"/>
      <c r="AHV1" s="11"/>
      <c r="AHW1" s="11"/>
      <c r="AHX1" s="11"/>
      <c r="AHY1" s="11"/>
      <c r="AHZ1" s="11"/>
      <c r="AIA1" s="11"/>
      <c r="AIB1" s="11"/>
      <c r="AIC1" s="11"/>
      <c r="AID1" s="11"/>
      <c r="AIE1" s="11"/>
      <c r="AIF1" s="11"/>
      <c r="AIG1" s="11"/>
      <c r="AIH1" s="11"/>
      <c r="AII1" s="11"/>
      <c r="AIJ1" s="11"/>
      <c r="AIK1" s="11"/>
      <c r="AIL1" s="11"/>
      <c r="AIM1" s="11"/>
      <c r="AIN1" s="11"/>
      <c r="AIO1" s="11"/>
      <c r="AIP1" s="11"/>
      <c r="AIQ1" s="11"/>
      <c r="AIR1" s="11"/>
      <c r="AIS1" s="11"/>
      <c r="AIT1" s="11"/>
      <c r="AIU1" s="11"/>
      <c r="AIV1" s="11"/>
      <c r="AIW1" s="11"/>
      <c r="AIX1" s="11"/>
      <c r="AIY1" s="11"/>
      <c r="AIZ1" s="11"/>
      <c r="AJA1" s="11"/>
      <c r="AJB1" s="11"/>
      <c r="AJC1" s="11"/>
      <c r="AJD1" s="11"/>
      <c r="AJE1" s="11"/>
      <c r="AJF1" s="11"/>
      <c r="AJG1" s="11"/>
      <c r="AJH1" s="11"/>
      <c r="AJI1" s="11"/>
      <c r="AJJ1" s="11"/>
      <c r="AJK1" s="11"/>
      <c r="AJL1" s="11"/>
      <c r="AJM1" s="11"/>
      <c r="AJN1" s="11"/>
      <c r="AJO1" s="11"/>
      <c r="AJP1" s="11"/>
      <c r="AJQ1" s="11"/>
      <c r="AJR1" s="11"/>
      <c r="AJS1" s="11"/>
      <c r="AJT1" s="11"/>
      <c r="AJU1" s="11"/>
      <c r="AJV1" s="11"/>
      <c r="AJW1" s="11"/>
      <c r="AJX1" s="11"/>
      <c r="AJY1" s="11"/>
      <c r="AJZ1" s="11"/>
      <c r="AKA1" s="11"/>
      <c r="AKB1" s="11"/>
      <c r="AKC1" s="11"/>
      <c r="AKD1" s="11"/>
      <c r="AKE1" s="11"/>
      <c r="AKF1" s="11"/>
      <c r="AKG1" s="11"/>
      <c r="AKH1" s="11"/>
      <c r="AKI1" s="11"/>
      <c r="AKJ1" s="11"/>
      <c r="AKK1" s="11"/>
      <c r="AKL1" s="11"/>
      <c r="AKM1" s="11"/>
      <c r="AKN1" s="11"/>
      <c r="AKO1" s="11"/>
      <c r="AKP1" s="11"/>
      <c r="AKQ1" s="11"/>
      <c r="AKR1" s="11"/>
      <c r="AKS1" s="11"/>
      <c r="AKT1" s="11"/>
      <c r="AKU1" s="11"/>
      <c r="AKV1" s="11"/>
      <c r="AKW1" s="11"/>
      <c r="AKX1" s="11"/>
      <c r="AKY1" s="11"/>
      <c r="AKZ1" s="11"/>
      <c r="ALA1" s="11"/>
      <c r="ALB1" s="11"/>
      <c r="ALC1" s="11"/>
      <c r="ALD1" s="11"/>
      <c r="ALE1" s="11"/>
      <c r="ALF1" s="11"/>
      <c r="ALG1" s="11"/>
      <c r="ALH1" s="11"/>
      <c r="ALI1" s="11"/>
      <c r="ALJ1" s="11"/>
      <c r="ALK1" s="11"/>
      <c r="ALL1" s="11"/>
      <c r="ALM1" s="11"/>
      <c r="ALN1" s="11"/>
      <c r="ALO1" s="11"/>
      <c r="ALP1" s="11"/>
      <c r="ALQ1" s="11"/>
      <c r="ALR1" s="11"/>
      <c r="ALS1" s="11"/>
      <c r="ALT1" s="11"/>
      <c r="ALU1" s="11"/>
      <c r="ALV1" s="11"/>
      <c r="ALW1" s="11"/>
      <c r="ALX1" s="11"/>
      <c r="ALY1" s="11"/>
      <c r="ALZ1" s="11"/>
      <c r="AMA1" s="11"/>
      <c r="AMB1" s="11"/>
      <c r="AMC1" s="11"/>
      <c r="AMD1" s="11"/>
      <c r="AME1" s="11"/>
      <c r="AMF1" s="11"/>
      <c r="AMG1" s="11"/>
      <c r="AMH1" s="11"/>
      <c r="AMI1" s="11"/>
      <c r="AMJ1" s="11"/>
    </row>
    <row r="2" spans="1:1024" ht="25.5" x14ac:dyDescent="0.2">
      <c r="A2" s="4" t="s">
        <v>159</v>
      </c>
      <c r="B2" s="4" t="s">
        <v>160</v>
      </c>
      <c r="C2" s="4" t="s">
        <v>161</v>
      </c>
      <c r="D2" s="4" t="s">
        <v>60</v>
      </c>
    </row>
    <row r="3" spans="1:1024" ht="25.5" x14ac:dyDescent="0.2">
      <c r="A3" s="7" t="s">
        <v>162</v>
      </c>
      <c r="B3" s="7" t="s">
        <v>163</v>
      </c>
      <c r="C3" s="7" t="s">
        <v>164</v>
      </c>
      <c r="D3" s="8">
        <v>43800</v>
      </c>
    </row>
    <row r="4" spans="1:1024" x14ac:dyDescent="0.2">
      <c r="A4" s="7" t="s">
        <v>165</v>
      </c>
      <c r="B4" s="7" t="s">
        <v>163</v>
      </c>
      <c r="C4" s="7" t="s">
        <v>166</v>
      </c>
      <c r="D4" s="8">
        <v>43800</v>
      </c>
    </row>
    <row r="5" spans="1:1024" x14ac:dyDescent="0.2">
      <c r="A5" s="7" t="s">
        <v>167</v>
      </c>
      <c r="B5" s="7" t="s">
        <v>163</v>
      </c>
      <c r="C5" s="7" t="s">
        <v>168</v>
      </c>
      <c r="D5" s="8">
        <v>43800</v>
      </c>
    </row>
    <row r="6" spans="1:1024" x14ac:dyDescent="0.2">
      <c r="A6" s="7" t="s">
        <v>169</v>
      </c>
      <c r="B6" s="7" t="s">
        <v>163</v>
      </c>
      <c r="C6" s="7" t="s">
        <v>170</v>
      </c>
      <c r="D6" s="8">
        <v>43800</v>
      </c>
    </row>
    <row r="7" spans="1:1024" x14ac:dyDescent="0.2">
      <c r="A7" s="7" t="s">
        <v>171</v>
      </c>
      <c r="B7" s="7" t="s">
        <v>163</v>
      </c>
      <c r="C7" s="7" t="s">
        <v>172</v>
      </c>
      <c r="D7" s="8">
        <v>43800</v>
      </c>
    </row>
    <row r="8" spans="1:1024" x14ac:dyDescent="0.2">
      <c r="A8" s="7" t="s">
        <v>173</v>
      </c>
      <c r="B8" s="7" t="s">
        <v>163</v>
      </c>
      <c r="C8" s="7" t="s">
        <v>174</v>
      </c>
      <c r="D8" s="8">
        <v>43800</v>
      </c>
    </row>
    <row r="9" spans="1:1024" x14ac:dyDescent="0.2">
      <c r="A9" s="7" t="s">
        <v>175</v>
      </c>
      <c r="B9" s="7" t="s">
        <v>163</v>
      </c>
      <c r="C9" s="7" t="s">
        <v>176</v>
      </c>
      <c r="D9" s="8">
        <v>43800</v>
      </c>
    </row>
    <row r="10" spans="1:1024" ht="25.5" x14ac:dyDescent="0.2">
      <c r="A10" s="7" t="s">
        <v>177</v>
      </c>
      <c r="B10" s="7" t="s">
        <v>163</v>
      </c>
      <c r="C10" s="7" t="s">
        <v>178</v>
      </c>
      <c r="D10" s="8">
        <v>43800</v>
      </c>
    </row>
    <row r="11" spans="1:1024" x14ac:dyDescent="0.2">
      <c r="A11" s="7" t="s">
        <v>179</v>
      </c>
      <c r="B11" s="7" t="s">
        <v>163</v>
      </c>
      <c r="C11" s="7" t="s">
        <v>180</v>
      </c>
      <c r="D11" s="8">
        <v>43800</v>
      </c>
    </row>
    <row r="12" spans="1:1024" x14ac:dyDescent="0.2">
      <c r="A12" s="7" t="s">
        <v>181</v>
      </c>
      <c r="B12" s="7" t="s">
        <v>163</v>
      </c>
      <c r="C12" s="7" t="s">
        <v>182</v>
      </c>
      <c r="D12" s="8">
        <v>43800</v>
      </c>
    </row>
    <row r="13" spans="1:1024" ht="25.5" x14ac:dyDescent="0.2">
      <c r="A13" s="7" t="s">
        <v>183</v>
      </c>
      <c r="B13" s="7" t="s">
        <v>163</v>
      </c>
      <c r="C13" s="7" t="s">
        <v>184</v>
      </c>
      <c r="D13" s="8">
        <v>43800</v>
      </c>
    </row>
    <row r="14" spans="1:1024" x14ac:dyDescent="0.2">
      <c r="A14" s="7" t="s">
        <v>185</v>
      </c>
      <c r="B14" s="7" t="s">
        <v>163</v>
      </c>
      <c r="C14" s="7" t="s">
        <v>186</v>
      </c>
      <c r="D14" s="8">
        <v>43800</v>
      </c>
    </row>
    <row r="15" spans="1:1024" x14ac:dyDescent="0.2">
      <c r="A15" s="7" t="s">
        <v>187</v>
      </c>
      <c r="B15" s="7" t="s">
        <v>163</v>
      </c>
      <c r="C15" s="7" t="s">
        <v>188</v>
      </c>
      <c r="D15" s="8">
        <v>43800</v>
      </c>
    </row>
    <row r="16" spans="1:1024" x14ac:dyDescent="0.2">
      <c r="A16" s="7" t="s">
        <v>189</v>
      </c>
      <c r="B16" s="7" t="s">
        <v>163</v>
      </c>
      <c r="C16" s="7" t="s">
        <v>190</v>
      </c>
      <c r="D16" s="8">
        <v>43800</v>
      </c>
    </row>
    <row r="17" spans="1:4" x14ac:dyDescent="0.2">
      <c r="A17" s="7" t="s">
        <v>191</v>
      </c>
      <c r="B17" s="7" t="s">
        <v>163</v>
      </c>
      <c r="C17" s="7" t="s">
        <v>192</v>
      </c>
      <c r="D17" s="8">
        <v>43800</v>
      </c>
    </row>
    <row r="18" spans="1:4" x14ac:dyDescent="0.2">
      <c r="A18" s="7" t="s">
        <v>193</v>
      </c>
      <c r="B18" s="7" t="s">
        <v>163</v>
      </c>
      <c r="C18" s="7" t="s">
        <v>194</v>
      </c>
      <c r="D18" s="8">
        <v>43800</v>
      </c>
    </row>
    <row r="19" spans="1:4" ht="25.5" x14ac:dyDescent="0.2">
      <c r="A19" s="7" t="s">
        <v>195</v>
      </c>
      <c r="B19" s="7" t="s">
        <v>163</v>
      </c>
      <c r="C19" s="7" t="s">
        <v>196</v>
      </c>
      <c r="D19" s="8">
        <v>43800</v>
      </c>
    </row>
    <row r="20" spans="1:4" x14ac:dyDescent="0.2">
      <c r="A20" s="7" t="s">
        <v>197</v>
      </c>
      <c r="B20" s="7" t="s">
        <v>163</v>
      </c>
      <c r="C20" s="7" t="s">
        <v>198</v>
      </c>
      <c r="D20" s="8">
        <v>43800</v>
      </c>
    </row>
    <row r="21" spans="1:4" x14ac:dyDescent="0.2">
      <c r="A21" s="7" t="s">
        <v>199</v>
      </c>
      <c r="B21" s="7" t="s">
        <v>163</v>
      </c>
      <c r="C21" s="7" t="s">
        <v>200</v>
      </c>
      <c r="D21" s="8">
        <v>43800</v>
      </c>
    </row>
    <row r="22" spans="1:4" x14ac:dyDescent="0.2">
      <c r="A22" s="7" t="s">
        <v>201</v>
      </c>
      <c r="B22" s="7" t="s">
        <v>163</v>
      </c>
      <c r="C22" s="7" t="s">
        <v>202</v>
      </c>
      <c r="D22" s="8">
        <v>43800</v>
      </c>
    </row>
    <row r="23" spans="1:4" x14ac:dyDescent="0.2">
      <c r="A23" s="7" t="s">
        <v>203</v>
      </c>
      <c r="B23" s="7" t="s">
        <v>163</v>
      </c>
      <c r="C23" s="7" t="s">
        <v>204</v>
      </c>
      <c r="D23" s="8">
        <v>43800</v>
      </c>
    </row>
    <row r="24" spans="1:4" x14ac:dyDescent="0.2">
      <c r="A24" s="7" t="s">
        <v>205</v>
      </c>
      <c r="B24" s="7" t="s">
        <v>163</v>
      </c>
      <c r="C24" s="7" t="s">
        <v>206</v>
      </c>
      <c r="D24" s="8">
        <v>43800</v>
      </c>
    </row>
    <row r="25" spans="1:4" x14ac:dyDescent="0.2">
      <c r="A25" s="7" t="s">
        <v>207</v>
      </c>
      <c r="B25" s="7" t="s">
        <v>163</v>
      </c>
      <c r="C25" s="7" t="s">
        <v>208</v>
      </c>
      <c r="D25" s="8">
        <v>43800</v>
      </c>
    </row>
    <row r="26" spans="1:4" ht="25.5" x14ac:dyDescent="0.2">
      <c r="A26" s="7" t="s">
        <v>209</v>
      </c>
      <c r="B26" s="7" t="s">
        <v>163</v>
      </c>
      <c r="C26" s="7" t="s">
        <v>210</v>
      </c>
      <c r="D26" s="8">
        <v>43800</v>
      </c>
    </row>
    <row r="27" spans="1:4" x14ac:dyDescent="0.2">
      <c r="A27" s="7" t="s">
        <v>211</v>
      </c>
      <c r="B27" s="7" t="s">
        <v>163</v>
      </c>
      <c r="C27" s="7" t="s">
        <v>212</v>
      </c>
      <c r="D27" s="8">
        <v>43800</v>
      </c>
    </row>
    <row r="28" spans="1:4" x14ac:dyDescent="0.2">
      <c r="A28" s="7" t="s">
        <v>213</v>
      </c>
      <c r="B28" s="7" t="s">
        <v>163</v>
      </c>
      <c r="C28" s="7" t="s">
        <v>214</v>
      </c>
      <c r="D28" s="8">
        <v>43800</v>
      </c>
    </row>
    <row r="29" spans="1:4" x14ac:dyDescent="0.2">
      <c r="A29" s="7" t="s">
        <v>215</v>
      </c>
      <c r="B29" s="7" t="s">
        <v>163</v>
      </c>
      <c r="C29" s="7" t="s">
        <v>216</v>
      </c>
      <c r="D29" s="8">
        <v>43800</v>
      </c>
    </row>
    <row r="30" spans="1:4" ht="25.5" x14ac:dyDescent="0.2">
      <c r="A30" s="7" t="s">
        <v>217</v>
      </c>
      <c r="B30" s="7" t="s">
        <v>163</v>
      </c>
      <c r="C30" s="7" t="s">
        <v>218</v>
      </c>
      <c r="D30" s="8">
        <v>43800</v>
      </c>
    </row>
    <row r="31" spans="1:4" x14ac:dyDescent="0.2">
      <c r="A31" s="7" t="s">
        <v>219</v>
      </c>
      <c r="B31" s="7" t="s">
        <v>163</v>
      </c>
      <c r="C31" s="7" t="s">
        <v>220</v>
      </c>
      <c r="D31" s="8">
        <v>43800</v>
      </c>
    </row>
    <row r="32" spans="1:4" x14ac:dyDescent="0.2">
      <c r="A32" s="7" t="s">
        <v>221</v>
      </c>
      <c r="B32" s="7" t="s">
        <v>163</v>
      </c>
      <c r="C32" s="7" t="s">
        <v>222</v>
      </c>
      <c r="D32" s="8">
        <v>43800</v>
      </c>
    </row>
    <row r="33" spans="1:4" x14ac:dyDescent="0.2">
      <c r="A33" s="7" t="s">
        <v>223</v>
      </c>
      <c r="B33" s="7" t="s">
        <v>163</v>
      </c>
      <c r="C33" s="7" t="s">
        <v>224</v>
      </c>
      <c r="D33" s="8">
        <v>43800</v>
      </c>
    </row>
    <row r="34" spans="1:4" x14ac:dyDescent="0.2">
      <c r="A34" s="7" t="s">
        <v>225</v>
      </c>
      <c r="B34" s="7" t="s">
        <v>163</v>
      </c>
      <c r="C34" s="7" t="s">
        <v>226</v>
      </c>
      <c r="D34" s="8">
        <v>43800</v>
      </c>
    </row>
    <row r="35" spans="1:4" x14ac:dyDescent="0.2">
      <c r="A35" s="7" t="s">
        <v>227</v>
      </c>
      <c r="B35" s="7" t="s">
        <v>163</v>
      </c>
      <c r="C35" s="7" t="s">
        <v>228</v>
      </c>
      <c r="D35" s="8">
        <v>43800</v>
      </c>
    </row>
    <row r="36" spans="1:4" x14ac:dyDescent="0.2">
      <c r="A36" s="7" t="s">
        <v>229</v>
      </c>
      <c r="B36" s="7" t="s">
        <v>163</v>
      </c>
      <c r="C36" s="7" t="s">
        <v>230</v>
      </c>
      <c r="D36" s="8">
        <v>43800</v>
      </c>
    </row>
    <row r="37" spans="1:4" ht="51" x14ac:dyDescent="0.2">
      <c r="A37" s="7" t="s">
        <v>231</v>
      </c>
      <c r="B37" s="7" t="s">
        <v>232</v>
      </c>
      <c r="C37" s="7" t="s">
        <v>233</v>
      </c>
      <c r="D37" s="8">
        <v>43800</v>
      </c>
    </row>
    <row r="38" spans="1:4" x14ac:dyDescent="0.2">
      <c r="A38" s="7" t="s">
        <v>234</v>
      </c>
      <c r="B38" s="7" t="s">
        <v>163</v>
      </c>
      <c r="C38" s="7" t="s">
        <v>235</v>
      </c>
      <c r="D38" s="8">
        <v>43800</v>
      </c>
    </row>
    <row r="39" spans="1:4" x14ac:dyDescent="0.2">
      <c r="A39" s="7" t="s">
        <v>236</v>
      </c>
      <c r="B39" s="7" t="s">
        <v>163</v>
      </c>
      <c r="C39" s="7" t="s">
        <v>237</v>
      </c>
      <c r="D39" s="8">
        <v>43800</v>
      </c>
    </row>
    <row r="40" spans="1:4" x14ac:dyDescent="0.2">
      <c r="A40" s="7" t="s">
        <v>238</v>
      </c>
      <c r="B40" s="7" t="s">
        <v>163</v>
      </c>
      <c r="C40" s="7" t="s">
        <v>239</v>
      </c>
      <c r="D40" s="8">
        <v>43800</v>
      </c>
    </row>
    <row r="41" spans="1:4" x14ac:dyDescent="0.2">
      <c r="A41" s="7" t="s">
        <v>240</v>
      </c>
      <c r="B41" s="7" t="s">
        <v>163</v>
      </c>
      <c r="C41" s="7" t="s">
        <v>241</v>
      </c>
      <c r="D41" s="8">
        <v>43800</v>
      </c>
    </row>
    <row r="42" spans="1:4" x14ac:dyDescent="0.2">
      <c r="A42" s="7" t="s">
        <v>242</v>
      </c>
      <c r="B42" s="7" t="s">
        <v>163</v>
      </c>
      <c r="C42" s="7" t="s">
        <v>243</v>
      </c>
      <c r="D42" s="8">
        <v>43800</v>
      </c>
    </row>
    <row r="43" spans="1:4" x14ac:dyDescent="0.2">
      <c r="A43" s="7" t="s">
        <v>244</v>
      </c>
      <c r="B43" s="7" t="s">
        <v>163</v>
      </c>
      <c r="C43" s="7" t="s">
        <v>245</v>
      </c>
      <c r="D43" s="8">
        <v>43800</v>
      </c>
    </row>
    <row r="44" spans="1:4" x14ac:dyDescent="0.2">
      <c r="A44" s="7" t="s">
        <v>246</v>
      </c>
      <c r="B44" s="7" t="s">
        <v>163</v>
      </c>
      <c r="C44" s="7" t="s">
        <v>247</v>
      </c>
      <c r="D44" s="8">
        <v>43800</v>
      </c>
    </row>
    <row r="45" spans="1:4" x14ac:dyDescent="0.2">
      <c r="A45" s="7" t="s">
        <v>248</v>
      </c>
      <c r="B45" s="7" t="s">
        <v>163</v>
      </c>
      <c r="C45" s="7" t="s">
        <v>249</v>
      </c>
      <c r="D45" s="8">
        <v>43800</v>
      </c>
    </row>
  </sheetData>
  <pageMargins left="0" right="0" top="0.39370078740157483" bottom="0.39370078740157483" header="0" footer="0"/>
  <headerFooter>
    <oddHeader>&amp;C&amp;A</oddHeader>
    <oddFooter>&amp;CPagina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5"/>
  <dimension ref="A1:AMM6"/>
  <sheetViews>
    <sheetView workbookViewId="0">
      <pane xSplit="1" ySplit="2" topLeftCell="B3" activePane="bottomRight" state="frozen"/>
      <selection pane="topRight"/>
      <selection pane="bottomLeft"/>
      <selection pane="bottomRight"/>
    </sheetView>
  </sheetViews>
  <sheetFormatPr defaultColWidth="8.75" defaultRowHeight="12.75" x14ac:dyDescent="0.2"/>
  <cols>
    <col min="1" max="1" width="19.875" style="7" customWidth="1"/>
    <col min="2" max="2" width="34.625" style="7" customWidth="1"/>
    <col min="3" max="3" width="16.125" style="7" customWidth="1"/>
    <col min="4" max="4" width="14.375" style="7" customWidth="1"/>
    <col min="5" max="5" width="7.75" style="7" customWidth="1"/>
    <col min="6" max="6" width="11.75" style="7" customWidth="1"/>
    <col min="7" max="7" width="19.25" style="7" customWidth="1"/>
    <col min="8" max="8" width="54.625" style="7" customWidth="1"/>
    <col min="9" max="9" width="11.875" style="7" customWidth="1"/>
    <col min="10" max="1027" width="54.625" style="7" customWidth="1"/>
    <col min="1028" max="16384" width="8.75" style="10"/>
  </cols>
  <sheetData>
    <row r="1" spans="1:1027" s="9" customFormat="1" x14ac:dyDescent="0.2">
      <c r="A1" s="11" t="str">
        <f>CONCATENATE("Eigenschappen bij zaaktype ",Zaaktype!B2,": ",Zaaktype!B3)</f>
        <v>Eigenschappen bij zaaktype 14: Voorlopige voorziening behandelen</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1"/>
      <c r="IN1" s="11"/>
      <c r="IO1" s="11"/>
      <c r="IP1" s="11"/>
      <c r="IQ1" s="11"/>
      <c r="IR1" s="11"/>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1"/>
      <c r="KJ1" s="11"/>
      <c r="KK1" s="11"/>
      <c r="KL1" s="11"/>
      <c r="KM1" s="11"/>
      <c r="KN1" s="11"/>
      <c r="KO1" s="11"/>
      <c r="KP1" s="11"/>
      <c r="KQ1" s="11"/>
      <c r="KR1" s="11"/>
      <c r="KS1" s="11"/>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1"/>
      <c r="MF1" s="11"/>
      <c r="MG1" s="11"/>
      <c r="MH1" s="11"/>
      <c r="MI1" s="11"/>
      <c r="MJ1" s="11"/>
      <c r="MK1" s="11"/>
      <c r="ML1" s="11"/>
      <c r="MM1" s="11"/>
      <c r="MN1" s="11"/>
      <c r="MO1" s="11"/>
      <c r="MP1" s="11"/>
      <c r="MQ1" s="11"/>
      <c r="MR1" s="11"/>
      <c r="MS1" s="11"/>
      <c r="MT1" s="11"/>
      <c r="MU1" s="11"/>
      <c r="MV1" s="11"/>
      <c r="MW1" s="11"/>
      <c r="MX1" s="11"/>
      <c r="MY1" s="11"/>
      <c r="MZ1" s="11"/>
      <c r="NA1" s="11"/>
      <c r="NB1" s="11"/>
      <c r="NC1" s="11"/>
      <c r="ND1" s="11"/>
      <c r="NE1" s="11"/>
      <c r="NF1" s="11"/>
      <c r="NG1" s="11"/>
      <c r="NH1" s="11"/>
      <c r="NI1" s="11"/>
      <c r="NJ1" s="11"/>
      <c r="NK1" s="11"/>
      <c r="NL1" s="11"/>
      <c r="NM1" s="11"/>
      <c r="NN1" s="11"/>
      <c r="NO1" s="11"/>
      <c r="NP1" s="11"/>
      <c r="NQ1" s="11"/>
      <c r="NR1" s="11"/>
      <c r="NS1" s="11"/>
      <c r="NT1" s="11"/>
      <c r="NU1" s="11"/>
      <c r="NV1" s="11"/>
      <c r="NW1" s="11"/>
      <c r="NX1" s="11"/>
      <c r="NY1" s="11"/>
      <c r="NZ1" s="11"/>
      <c r="OA1" s="11"/>
      <c r="OB1" s="11"/>
      <c r="OC1" s="11"/>
      <c r="OD1" s="11"/>
      <c r="OE1" s="11"/>
      <c r="OF1" s="11"/>
      <c r="OG1" s="11"/>
      <c r="OH1" s="11"/>
      <c r="OI1" s="11"/>
      <c r="OJ1" s="11"/>
      <c r="OK1" s="11"/>
      <c r="OL1" s="11"/>
      <c r="OM1" s="11"/>
      <c r="ON1" s="11"/>
      <c r="OO1" s="11"/>
      <c r="OP1" s="11"/>
      <c r="OQ1" s="11"/>
      <c r="OR1" s="11"/>
      <c r="OS1" s="11"/>
      <c r="OT1" s="11"/>
      <c r="OU1" s="11"/>
      <c r="OV1" s="11"/>
      <c r="OW1" s="11"/>
      <c r="OX1" s="11"/>
      <c r="OY1" s="11"/>
      <c r="OZ1" s="11"/>
      <c r="PA1" s="11"/>
      <c r="PB1" s="11"/>
      <c r="PC1" s="11"/>
      <c r="PD1" s="11"/>
      <c r="PE1" s="11"/>
      <c r="PF1" s="11"/>
      <c r="PG1" s="11"/>
      <c r="PH1" s="11"/>
      <c r="PI1" s="11"/>
      <c r="PJ1" s="11"/>
      <c r="PK1" s="11"/>
      <c r="PL1" s="11"/>
      <c r="PM1" s="11"/>
      <c r="PN1" s="11"/>
      <c r="PO1" s="11"/>
      <c r="PP1" s="11"/>
      <c r="PQ1" s="11"/>
      <c r="PR1" s="11"/>
      <c r="PS1" s="11"/>
      <c r="PT1" s="11"/>
      <c r="PU1" s="11"/>
      <c r="PV1" s="11"/>
      <c r="PW1" s="11"/>
      <c r="PX1" s="11"/>
      <c r="PY1" s="11"/>
      <c r="PZ1" s="11"/>
      <c r="QA1" s="11"/>
      <c r="QB1" s="11"/>
      <c r="QC1" s="11"/>
      <c r="QD1" s="11"/>
      <c r="QE1" s="11"/>
      <c r="QF1" s="11"/>
      <c r="QG1" s="11"/>
      <c r="QH1" s="11"/>
      <c r="QI1" s="11"/>
      <c r="QJ1" s="11"/>
      <c r="QK1" s="11"/>
      <c r="QL1" s="11"/>
      <c r="QM1" s="11"/>
      <c r="QN1" s="11"/>
      <c r="QO1" s="11"/>
      <c r="QP1" s="11"/>
      <c r="QQ1" s="11"/>
      <c r="QR1" s="11"/>
      <c r="QS1" s="11"/>
      <c r="QT1" s="11"/>
      <c r="QU1" s="11"/>
      <c r="QV1" s="11"/>
      <c r="QW1" s="11"/>
      <c r="QX1" s="11"/>
      <c r="QY1" s="11"/>
      <c r="QZ1" s="11"/>
      <c r="RA1" s="11"/>
      <c r="RB1" s="11"/>
      <c r="RC1" s="11"/>
      <c r="RD1" s="11"/>
      <c r="RE1" s="11"/>
      <c r="RF1" s="11"/>
      <c r="RG1" s="11"/>
      <c r="RH1" s="11"/>
      <c r="RI1" s="11"/>
      <c r="RJ1" s="11"/>
      <c r="RK1" s="11"/>
      <c r="RL1" s="11"/>
      <c r="RM1" s="11"/>
      <c r="RN1" s="11"/>
      <c r="RO1" s="11"/>
      <c r="RP1" s="11"/>
      <c r="RQ1" s="11"/>
      <c r="RR1" s="11"/>
      <c r="RS1" s="11"/>
      <c r="RT1" s="11"/>
      <c r="RU1" s="11"/>
      <c r="RV1" s="11"/>
      <c r="RW1" s="11"/>
      <c r="RX1" s="11"/>
      <c r="RY1" s="11"/>
      <c r="RZ1" s="11"/>
      <c r="SA1" s="11"/>
      <c r="SB1" s="11"/>
      <c r="SC1" s="11"/>
      <c r="SD1" s="11"/>
      <c r="SE1" s="11"/>
      <c r="SF1" s="11"/>
      <c r="SG1" s="11"/>
      <c r="SH1" s="11"/>
      <c r="SI1" s="11"/>
      <c r="SJ1" s="11"/>
      <c r="SK1" s="11"/>
      <c r="SL1" s="11"/>
      <c r="SM1" s="11"/>
      <c r="SN1" s="11"/>
      <c r="SO1" s="11"/>
      <c r="SP1" s="11"/>
      <c r="SQ1" s="11"/>
      <c r="SR1" s="11"/>
      <c r="SS1" s="11"/>
      <c r="ST1" s="11"/>
      <c r="SU1" s="11"/>
      <c r="SV1" s="11"/>
      <c r="SW1" s="11"/>
      <c r="SX1" s="11"/>
      <c r="SY1" s="11"/>
      <c r="SZ1" s="11"/>
      <c r="TA1" s="11"/>
      <c r="TB1" s="11"/>
      <c r="TC1" s="11"/>
      <c r="TD1" s="11"/>
      <c r="TE1" s="11"/>
      <c r="TF1" s="11"/>
      <c r="TG1" s="11"/>
      <c r="TH1" s="11"/>
      <c r="TI1" s="11"/>
      <c r="TJ1" s="11"/>
      <c r="TK1" s="11"/>
      <c r="TL1" s="11"/>
      <c r="TM1" s="11"/>
      <c r="TN1" s="11"/>
      <c r="TO1" s="11"/>
      <c r="TP1" s="11"/>
      <c r="TQ1" s="11"/>
      <c r="TR1" s="11"/>
      <c r="TS1" s="11"/>
      <c r="TT1" s="11"/>
      <c r="TU1" s="11"/>
      <c r="TV1" s="11"/>
      <c r="TW1" s="11"/>
      <c r="TX1" s="11"/>
      <c r="TY1" s="11"/>
      <c r="TZ1" s="11"/>
      <c r="UA1" s="11"/>
      <c r="UB1" s="11"/>
      <c r="UC1" s="11"/>
      <c r="UD1" s="11"/>
      <c r="UE1" s="11"/>
      <c r="UF1" s="11"/>
      <c r="UG1" s="11"/>
      <c r="UH1" s="11"/>
      <c r="UI1" s="11"/>
      <c r="UJ1" s="11"/>
      <c r="UK1" s="11"/>
      <c r="UL1" s="11"/>
      <c r="UM1" s="11"/>
      <c r="UN1" s="11"/>
      <c r="UO1" s="11"/>
      <c r="UP1" s="11"/>
      <c r="UQ1" s="11"/>
      <c r="UR1" s="11"/>
      <c r="US1" s="11"/>
      <c r="UT1" s="11"/>
      <c r="UU1" s="11"/>
      <c r="UV1" s="11"/>
      <c r="UW1" s="11"/>
      <c r="UX1" s="11"/>
      <c r="UY1" s="11"/>
      <c r="UZ1" s="11"/>
      <c r="VA1" s="11"/>
      <c r="VB1" s="11"/>
      <c r="VC1" s="11"/>
      <c r="VD1" s="11"/>
      <c r="VE1" s="11"/>
      <c r="VF1" s="11"/>
      <c r="VG1" s="11"/>
      <c r="VH1" s="11"/>
      <c r="VI1" s="11"/>
      <c r="VJ1" s="11"/>
      <c r="VK1" s="11"/>
      <c r="VL1" s="11"/>
      <c r="VM1" s="11"/>
      <c r="VN1" s="11"/>
      <c r="VO1" s="11"/>
      <c r="VP1" s="11"/>
      <c r="VQ1" s="11"/>
      <c r="VR1" s="11"/>
      <c r="VS1" s="11"/>
      <c r="VT1" s="11"/>
      <c r="VU1" s="11"/>
      <c r="VV1" s="11"/>
      <c r="VW1" s="11"/>
      <c r="VX1" s="11"/>
      <c r="VY1" s="11"/>
      <c r="VZ1" s="11"/>
      <c r="WA1" s="11"/>
      <c r="WB1" s="11"/>
      <c r="WC1" s="11"/>
      <c r="WD1" s="11"/>
      <c r="WE1" s="11"/>
      <c r="WF1" s="11"/>
      <c r="WG1" s="11"/>
      <c r="WH1" s="11"/>
      <c r="WI1" s="11"/>
      <c r="WJ1" s="11"/>
      <c r="WK1" s="11"/>
      <c r="WL1" s="11"/>
      <c r="WM1" s="11"/>
      <c r="WN1" s="11"/>
      <c r="WO1" s="11"/>
      <c r="WP1" s="11"/>
      <c r="WQ1" s="11"/>
      <c r="WR1" s="11"/>
      <c r="WS1" s="11"/>
      <c r="WT1" s="11"/>
      <c r="WU1" s="11"/>
      <c r="WV1" s="11"/>
      <c r="WW1" s="11"/>
      <c r="WX1" s="11"/>
      <c r="WY1" s="11"/>
      <c r="WZ1" s="11"/>
      <c r="XA1" s="11"/>
      <c r="XB1" s="11"/>
      <c r="XC1" s="11"/>
      <c r="XD1" s="11"/>
      <c r="XE1" s="11"/>
      <c r="XF1" s="11"/>
      <c r="XG1" s="11"/>
      <c r="XH1" s="11"/>
      <c r="XI1" s="11"/>
      <c r="XJ1" s="11"/>
      <c r="XK1" s="11"/>
      <c r="XL1" s="11"/>
      <c r="XM1" s="11"/>
      <c r="XN1" s="11"/>
      <c r="XO1" s="11"/>
      <c r="XP1" s="11"/>
      <c r="XQ1" s="11"/>
      <c r="XR1" s="11"/>
      <c r="XS1" s="11"/>
      <c r="XT1" s="11"/>
      <c r="XU1" s="11"/>
      <c r="XV1" s="11"/>
      <c r="XW1" s="11"/>
      <c r="XX1" s="11"/>
      <c r="XY1" s="11"/>
      <c r="XZ1" s="11"/>
      <c r="YA1" s="11"/>
      <c r="YB1" s="11"/>
      <c r="YC1" s="11"/>
      <c r="YD1" s="11"/>
      <c r="YE1" s="11"/>
      <c r="YF1" s="11"/>
      <c r="YG1" s="11"/>
      <c r="YH1" s="11"/>
      <c r="YI1" s="11"/>
      <c r="YJ1" s="11"/>
      <c r="YK1" s="11"/>
      <c r="YL1" s="11"/>
      <c r="YM1" s="11"/>
      <c r="YN1" s="11"/>
      <c r="YO1" s="11"/>
      <c r="YP1" s="11"/>
      <c r="YQ1" s="11"/>
      <c r="YR1" s="11"/>
      <c r="YS1" s="11"/>
      <c r="YT1" s="11"/>
      <c r="YU1" s="11"/>
      <c r="YV1" s="11"/>
      <c r="YW1" s="11"/>
      <c r="YX1" s="11"/>
      <c r="YY1" s="11"/>
      <c r="YZ1" s="11"/>
      <c r="ZA1" s="11"/>
      <c r="ZB1" s="11"/>
      <c r="ZC1" s="11"/>
      <c r="ZD1" s="11"/>
      <c r="ZE1" s="11"/>
      <c r="ZF1" s="11"/>
      <c r="ZG1" s="11"/>
      <c r="ZH1" s="11"/>
      <c r="ZI1" s="11"/>
      <c r="ZJ1" s="11"/>
      <c r="ZK1" s="11"/>
      <c r="ZL1" s="11"/>
      <c r="ZM1" s="11"/>
      <c r="ZN1" s="11"/>
      <c r="ZO1" s="11"/>
      <c r="ZP1" s="11"/>
      <c r="ZQ1" s="11"/>
      <c r="ZR1" s="11"/>
      <c r="ZS1" s="11"/>
      <c r="ZT1" s="11"/>
      <c r="ZU1" s="11"/>
      <c r="ZV1" s="11"/>
      <c r="ZW1" s="11"/>
      <c r="ZX1" s="11"/>
      <c r="ZY1" s="11"/>
      <c r="ZZ1" s="11"/>
      <c r="AAA1" s="11"/>
      <c r="AAB1" s="11"/>
      <c r="AAC1" s="11"/>
      <c r="AAD1" s="11"/>
      <c r="AAE1" s="11"/>
      <c r="AAF1" s="11"/>
      <c r="AAG1" s="11"/>
      <c r="AAH1" s="11"/>
      <c r="AAI1" s="11"/>
      <c r="AAJ1" s="11"/>
      <c r="AAK1" s="11"/>
      <c r="AAL1" s="11"/>
      <c r="AAM1" s="11"/>
      <c r="AAN1" s="11"/>
      <c r="AAO1" s="11"/>
      <c r="AAP1" s="11"/>
      <c r="AAQ1" s="11"/>
      <c r="AAR1" s="11"/>
      <c r="AAS1" s="11"/>
      <c r="AAT1" s="11"/>
      <c r="AAU1" s="11"/>
      <c r="AAV1" s="11"/>
      <c r="AAW1" s="11"/>
      <c r="AAX1" s="11"/>
      <c r="AAY1" s="11"/>
      <c r="AAZ1" s="11"/>
      <c r="ABA1" s="11"/>
      <c r="ABB1" s="11"/>
      <c r="ABC1" s="11"/>
      <c r="ABD1" s="11"/>
      <c r="ABE1" s="11"/>
      <c r="ABF1" s="11"/>
      <c r="ABG1" s="11"/>
      <c r="ABH1" s="11"/>
      <c r="ABI1" s="11"/>
      <c r="ABJ1" s="11"/>
      <c r="ABK1" s="11"/>
      <c r="ABL1" s="11"/>
      <c r="ABM1" s="11"/>
      <c r="ABN1" s="11"/>
      <c r="ABO1" s="11"/>
      <c r="ABP1" s="11"/>
      <c r="ABQ1" s="11"/>
      <c r="ABR1" s="11"/>
      <c r="ABS1" s="11"/>
      <c r="ABT1" s="11"/>
      <c r="ABU1" s="11"/>
      <c r="ABV1" s="11"/>
      <c r="ABW1" s="11"/>
      <c r="ABX1" s="11"/>
      <c r="ABY1" s="11"/>
      <c r="ABZ1" s="11"/>
      <c r="ACA1" s="11"/>
      <c r="ACB1" s="11"/>
      <c r="ACC1" s="11"/>
      <c r="ACD1" s="11"/>
      <c r="ACE1" s="11"/>
      <c r="ACF1" s="11"/>
      <c r="ACG1" s="11"/>
      <c r="ACH1" s="11"/>
      <c r="ACI1" s="11"/>
      <c r="ACJ1" s="11"/>
      <c r="ACK1" s="11"/>
      <c r="ACL1" s="11"/>
      <c r="ACM1" s="11"/>
      <c r="ACN1" s="11"/>
      <c r="ACO1" s="11"/>
      <c r="ACP1" s="11"/>
      <c r="ACQ1" s="11"/>
      <c r="ACR1" s="11"/>
      <c r="ACS1" s="11"/>
      <c r="ACT1" s="11"/>
      <c r="ACU1" s="11"/>
      <c r="ACV1" s="11"/>
      <c r="ACW1" s="11"/>
      <c r="ACX1" s="11"/>
      <c r="ACY1" s="11"/>
      <c r="ACZ1" s="11"/>
      <c r="ADA1" s="11"/>
      <c r="ADB1" s="11"/>
      <c r="ADC1" s="11"/>
      <c r="ADD1" s="11"/>
      <c r="ADE1" s="11"/>
      <c r="ADF1" s="11"/>
      <c r="ADG1" s="11"/>
      <c r="ADH1" s="11"/>
      <c r="ADI1" s="11"/>
      <c r="ADJ1" s="11"/>
      <c r="ADK1" s="11"/>
      <c r="ADL1" s="11"/>
      <c r="ADM1" s="11"/>
      <c r="ADN1" s="11"/>
      <c r="ADO1" s="11"/>
      <c r="ADP1" s="11"/>
      <c r="ADQ1" s="11"/>
      <c r="ADR1" s="11"/>
      <c r="ADS1" s="11"/>
      <c r="ADT1" s="11"/>
      <c r="ADU1" s="11"/>
      <c r="ADV1" s="11"/>
      <c r="ADW1" s="11"/>
      <c r="ADX1" s="11"/>
      <c r="ADY1" s="11"/>
      <c r="ADZ1" s="11"/>
      <c r="AEA1" s="11"/>
      <c r="AEB1" s="11"/>
      <c r="AEC1" s="11"/>
      <c r="AED1" s="11"/>
      <c r="AEE1" s="11"/>
      <c r="AEF1" s="11"/>
      <c r="AEG1" s="11"/>
      <c r="AEH1" s="11"/>
      <c r="AEI1" s="11"/>
      <c r="AEJ1" s="11"/>
      <c r="AEK1" s="11"/>
      <c r="AEL1" s="11"/>
      <c r="AEM1" s="11"/>
      <c r="AEN1" s="11"/>
      <c r="AEO1" s="11"/>
      <c r="AEP1" s="11"/>
      <c r="AEQ1" s="11"/>
      <c r="AER1" s="11"/>
      <c r="AES1" s="11"/>
      <c r="AET1" s="11"/>
      <c r="AEU1" s="11"/>
      <c r="AEV1" s="11"/>
      <c r="AEW1" s="11"/>
      <c r="AEX1" s="11"/>
      <c r="AEY1" s="11"/>
      <c r="AEZ1" s="11"/>
      <c r="AFA1" s="11"/>
      <c r="AFB1" s="11"/>
      <c r="AFC1" s="11"/>
      <c r="AFD1" s="11"/>
      <c r="AFE1" s="11"/>
      <c r="AFF1" s="11"/>
      <c r="AFG1" s="11"/>
      <c r="AFH1" s="11"/>
      <c r="AFI1" s="11"/>
      <c r="AFJ1" s="11"/>
      <c r="AFK1" s="11"/>
      <c r="AFL1" s="11"/>
      <c r="AFM1" s="11"/>
      <c r="AFN1" s="11"/>
      <c r="AFO1" s="11"/>
      <c r="AFP1" s="11"/>
      <c r="AFQ1" s="11"/>
      <c r="AFR1" s="11"/>
      <c r="AFS1" s="11"/>
      <c r="AFT1" s="11"/>
      <c r="AFU1" s="11"/>
      <c r="AFV1" s="11"/>
      <c r="AFW1" s="11"/>
      <c r="AFX1" s="11"/>
      <c r="AFY1" s="11"/>
      <c r="AFZ1" s="11"/>
      <c r="AGA1" s="11"/>
      <c r="AGB1" s="11"/>
      <c r="AGC1" s="11"/>
      <c r="AGD1" s="11"/>
      <c r="AGE1" s="11"/>
      <c r="AGF1" s="11"/>
      <c r="AGG1" s="11"/>
      <c r="AGH1" s="11"/>
      <c r="AGI1" s="11"/>
      <c r="AGJ1" s="11"/>
      <c r="AGK1" s="11"/>
      <c r="AGL1" s="11"/>
      <c r="AGM1" s="11"/>
      <c r="AGN1" s="11"/>
      <c r="AGO1" s="11"/>
      <c r="AGP1" s="11"/>
      <c r="AGQ1" s="11"/>
      <c r="AGR1" s="11"/>
      <c r="AGS1" s="11"/>
      <c r="AGT1" s="11"/>
      <c r="AGU1" s="11"/>
      <c r="AGV1" s="11"/>
      <c r="AGW1" s="11"/>
      <c r="AGX1" s="11"/>
      <c r="AGY1" s="11"/>
      <c r="AGZ1" s="11"/>
      <c r="AHA1" s="11"/>
      <c r="AHB1" s="11"/>
      <c r="AHC1" s="11"/>
      <c r="AHD1" s="11"/>
      <c r="AHE1" s="11"/>
      <c r="AHF1" s="11"/>
      <c r="AHG1" s="11"/>
      <c r="AHH1" s="11"/>
      <c r="AHI1" s="11"/>
      <c r="AHJ1" s="11"/>
      <c r="AHK1" s="11"/>
      <c r="AHL1" s="11"/>
      <c r="AHM1" s="11"/>
      <c r="AHN1" s="11"/>
      <c r="AHO1" s="11"/>
      <c r="AHP1" s="11"/>
      <c r="AHQ1" s="11"/>
      <c r="AHR1" s="11"/>
      <c r="AHS1" s="11"/>
      <c r="AHT1" s="11"/>
      <c r="AHU1" s="11"/>
      <c r="AHV1" s="11"/>
      <c r="AHW1" s="11"/>
      <c r="AHX1" s="11"/>
      <c r="AHY1" s="11"/>
      <c r="AHZ1" s="11"/>
      <c r="AIA1" s="11"/>
      <c r="AIB1" s="11"/>
      <c r="AIC1" s="11"/>
      <c r="AID1" s="11"/>
      <c r="AIE1" s="11"/>
      <c r="AIF1" s="11"/>
      <c r="AIG1" s="11"/>
      <c r="AIH1" s="11"/>
      <c r="AII1" s="11"/>
      <c r="AIJ1" s="11"/>
      <c r="AIK1" s="11"/>
      <c r="AIL1" s="11"/>
      <c r="AIM1" s="11"/>
      <c r="AIN1" s="11"/>
      <c r="AIO1" s="11"/>
      <c r="AIP1" s="11"/>
      <c r="AIQ1" s="11"/>
      <c r="AIR1" s="11"/>
      <c r="AIS1" s="11"/>
      <c r="AIT1" s="11"/>
      <c r="AIU1" s="11"/>
      <c r="AIV1" s="11"/>
      <c r="AIW1" s="11"/>
      <c r="AIX1" s="11"/>
      <c r="AIY1" s="11"/>
      <c r="AIZ1" s="11"/>
      <c r="AJA1" s="11"/>
      <c r="AJB1" s="11"/>
      <c r="AJC1" s="11"/>
      <c r="AJD1" s="11"/>
      <c r="AJE1" s="11"/>
      <c r="AJF1" s="11"/>
      <c r="AJG1" s="11"/>
      <c r="AJH1" s="11"/>
      <c r="AJI1" s="11"/>
      <c r="AJJ1" s="11"/>
      <c r="AJK1" s="11"/>
      <c r="AJL1" s="11"/>
      <c r="AJM1" s="11"/>
      <c r="AJN1" s="11"/>
      <c r="AJO1" s="11"/>
      <c r="AJP1" s="11"/>
      <c r="AJQ1" s="11"/>
      <c r="AJR1" s="11"/>
      <c r="AJS1" s="11"/>
      <c r="AJT1" s="11"/>
      <c r="AJU1" s="11"/>
      <c r="AJV1" s="11"/>
      <c r="AJW1" s="11"/>
      <c r="AJX1" s="11"/>
      <c r="AJY1" s="11"/>
      <c r="AJZ1" s="11"/>
      <c r="AKA1" s="11"/>
      <c r="AKB1" s="11"/>
      <c r="AKC1" s="11"/>
      <c r="AKD1" s="11"/>
      <c r="AKE1" s="11"/>
      <c r="AKF1" s="11"/>
      <c r="AKG1" s="11"/>
      <c r="AKH1" s="11"/>
      <c r="AKI1" s="11"/>
      <c r="AKJ1" s="11"/>
      <c r="AKK1" s="11"/>
      <c r="AKL1" s="11"/>
      <c r="AKM1" s="11"/>
      <c r="AKN1" s="11"/>
      <c r="AKO1" s="11"/>
      <c r="AKP1" s="11"/>
      <c r="AKQ1" s="11"/>
      <c r="AKR1" s="11"/>
      <c r="AKS1" s="11"/>
      <c r="AKT1" s="11"/>
      <c r="AKU1" s="11"/>
      <c r="AKV1" s="11"/>
      <c r="AKW1" s="11"/>
      <c r="AKX1" s="11"/>
      <c r="AKY1" s="11"/>
      <c r="AKZ1" s="11"/>
      <c r="ALA1" s="11"/>
      <c r="ALB1" s="11"/>
      <c r="ALC1" s="11"/>
      <c r="ALD1" s="11"/>
      <c r="ALE1" s="11"/>
      <c r="ALF1" s="11"/>
      <c r="ALG1" s="11"/>
      <c r="ALH1" s="11"/>
      <c r="ALI1" s="11"/>
      <c r="ALJ1" s="11"/>
      <c r="ALK1" s="11"/>
      <c r="ALL1" s="11"/>
      <c r="ALM1" s="11"/>
      <c r="ALN1" s="11"/>
      <c r="ALO1" s="11"/>
      <c r="ALP1" s="11"/>
      <c r="ALQ1" s="11"/>
      <c r="ALR1" s="11"/>
      <c r="ALS1" s="11"/>
      <c r="ALT1" s="11"/>
      <c r="ALU1" s="11"/>
      <c r="ALV1" s="11"/>
      <c r="ALW1" s="11"/>
      <c r="ALX1" s="11"/>
      <c r="ALY1" s="11"/>
      <c r="ALZ1" s="11"/>
      <c r="AMA1" s="11"/>
      <c r="AMB1" s="11"/>
      <c r="AMC1" s="11"/>
      <c r="AMD1" s="11"/>
      <c r="AME1" s="11"/>
      <c r="AMF1" s="11"/>
      <c r="AMG1" s="11"/>
      <c r="AMH1" s="11"/>
      <c r="AMI1" s="11"/>
      <c r="AMJ1" s="11"/>
      <c r="AMK1" s="11"/>
      <c r="AML1" s="11"/>
      <c r="AMM1" s="11"/>
    </row>
    <row r="2" spans="1:1027" ht="25.5" x14ac:dyDescent="0.2">
      <c r="A2" s="4" t="s">
        <v>250</v>
      </c>
      <c r="B2" s="4" t="s">
        <v>251</v>
      </c>
      <c r="C2" s="4" t="s">
        <v>252</v>
      </c>
      <c r="D2" s="4" t="s">
        <v>253</v>
      </c>
      <c r="E2" s="4" t="s">
        <v>254</v>
      </c>
      <c r="F2" s="4" t="s">
        <v>255</v>
      </c>
      <c r="G2" s="4" t="s">
        <v>256</v>
      </c>
      <c r="H2" s="4" t="s">
        <v>56</v>
      </c>
      <c r="I2" s="4" t="s">
        <v>60</v>
      </c>
    </row>
    <row r="3" spans="1:1027" x14ac:dyDescent="0.2">
      <c r="A3" s="7" t="s">
        <v>257</v>
      </c>
      <c r="B3" s="7" t="s">
        <v>258</v>
      </c>
      <c r="D3" s="7" t="s">
        <v>259</v>
      </c>
      <c r="I3" s="8">
        <v>43800</v>
      </c>
    </row>
    <row r="4" spans="1:1027" ht="114.75" x14ac:dyDescent="0.2">
      <c r="A4" s="7" t="s">
        <v>260</v>
      </c>
      <c r="B4" s="7" t="s">
        <v>261</v>
      </c>
      <c r="D4" s="7" t="s">
        <v>262</v>
      </c>
      <c r="H4" s="7" t="s">
        <v>263</v>
      </c>
      <c r="I4" s="8">
        <v>43800</v>
      </c>
    </row>
    <row r="5" spans="1:1027" ht="25.5" x14ac:dyDescent="0.2">
      <c r="A5" s="7" t="s">
        <v>264</v>
      </c>
      <c r="B5" s="7" t="s">
        <v>265</v>
      </c>
      <c r="D5" s="7" t="s">
        <v>259</v>
      </c>
      <c r="I5" s="8">
        <v>43800</v>
      </c>
    </row>
    <row r="6" spans="1:1027" ht="25.5" x14ac:dyDescent="0.2">
      <c r="A6" s="7" t="s">
        <v>266</v>
      </c>
      <c r="B6" s="7" t="s">
        <v>267</v>
      </c>
      <c r="D6" s="7" t="s">
        <v>268</v>
      </c>
      <c r="I6" s="8">
        <v>43800</v>
      </c>
    </row>
  </sheetData>
  <pageMargins left="0" right="0" top="0.39370078740157483" bottom="0.39370078740157483" header="0" footer="0"/>
  <headerFooter>
    <oddHeader>&amp;C&amp;A</oddHeader>
    <oddFooter>&amp;CPagina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6"/>
  <dimension ref="A1:AMH23"/>
  <sheetViews>
    <sheetView workbookViewId="0">
      <pane xSplit="1" ySplit="2" topLeftCell="B3" activePane="bottomRight" state="frozen"/>
      <selection pane="topRight"/>
      <selection pane="bottomLeft"/>
      <selection pane="bottomRight" activeCell="C20" sqref="C20"/>
    </sheetView>
  </sheetViews>
  <sheetFormatPr defaultColWidth="8.75" defaultRowHeight="12.75" x14ac:dyDescent="0.2"/>
  <cols>
    <col min="1" max="1" width="12.875" style="1" customWidth="1"/>
    <col min="2" max="2" width="11" style="1" customWidth="1"/>
    <col min="3" max="3" width="39.875" style="1" customWidth="1"/>
    <col min="4" max="1022" width="48.625" style="1" customWidth="1"/>
    <col min="1023" max="16384" width="8.75" style="17"/>
  </cols>
  <sheetData>
    <row r="1" spans="1:1022" s="16" customFormat="1" x14ac:dyDescent="0.2">
      <c r="A1" s="15" t="str">
        <f>CONCATENATE("Informatieobjecttypen bij zaaktype ",Zaaktype!B2,": ",Zaaktype!B3)</f>
        <v>Informatieobjecttypen bij zaaktype 14: Voorlopige voorziening behandelen</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c r="CO1" s="15"/>
      <c r="CP1" s="15"/>
      <c r="CQ1" s="15"/>
      <c r="CR1" s="15"/>
      <c r="CS1" s="15"/>
      <c r="CT1" s="15"/>
      <c r="CU1" s="15"/>
      <c r="CV1" s="15"/>
      <c r="CW1" s="15"/>
      <c r="CX1" s="15"/>
      <c r="CY1" s="15"/>
      <c r="CZ1" s="15"/>
      <c r="DA1" s="15"/>
      <c r="DB1" s="15"/>
      <c r="DC1" s="15"/>
      <c r="DD1" s="15"/>
      <c r="DE1" s="15"/>
      <c r="DF1" s="15"/>
      <c r="DG1" s="15"/>
      <c r="DH1" s="15"/>
      <c r="DI1" s="15"/>
      <c r="DJ1" s="15"/>
      <c r="DK1" s="15"/>
      <c r="DL1" s="15"/>
      <c r="DM1" s="15"/>
      <c r="DN1" s="15"/>
      <c r="DO1" s="15"/>
      <c r="DP1" s="15"/>
      <c r="DQ1" s="15"/>
      <c r="DR1" s="15"/>
      <c r="DS1" s="15"/>
      <c r="DT1" s="15"/>
      <c r="DU1" s="15"/>
      <c r="DV1" s="15"/>
      <c r="DW1" s="15"/>
      <c r="DX1" s="15"/>
      <c r="DY1" s="15"/>
      <c r="DZ1" s="15"/>
      <c r="EA1" s="15"/>
      <c r="EB1" s="15"/>
      <c r="EC1" s="15"/>
      <c r="ED1" s="15"/>
      <c r="EE1" s="15"/>
      <c r="EF1" s="15"/>
      <c r="EG1" s="15"/>
      <c r="EH1" s="15"/>
      <c r="EI1" s="15"/>
      <c r="EJ1" s="15"/>
      <c r="EK1" s="15"/>
      <c r="EL1" s="15"/>
      <c r="EM1" s="15"/>
      <c r="EN1" s="15"/>
      <c r="EO1" s="15"/>
      <c r="EP1" s="15"/>
      <c r="EQ1" s="15"/>
      <c r="ER1" s="15"/>
      <c r="ES1" s="15"/>
      <c r="ET1" s="15"/>
      <c r="EU1" s="15"/>
      <c r="EV1" s="15"/>
      <c r="EW1" s="15"/>
      <c r="EX1" s="15"/>
      <c r="EY1" s="15"/>
      <c r="EZ1" s="15"/>
      <c r="FA1" s="15"/>
      <c r="FB1" s="15"/>
      <c r="FC1" s="15"/>
      <c r="FD1" s="15"/>
      <c r="FE1" s="15"/>
      <c r="FF1" s="15"/>
      <c r="FG1" s="15"/>
      <c r="FH1" s="15"/>
      <c r="FI1" s="15"/>
      <c r="FJ1" s="15"/>
      <c r="FK1" s="15"/>
      <c r="FL1" s="15"/>
      <c r="FM1" s="15"/>
      <c r="FN1" s="15"/>
      <c r="FO1" s="15"/>
      <c r="FP1" s="15"/>
      <c r="FQ1" s="15"/>
      <c r="FR1" s="15"/>
      <c r="FS1" s="15"/>
      <c r="FT1" s="15"/>
      <c r="FU1" s="15"/>
      <c r="FV1" s="15"/>
      <c r="FW1" s="15"/>
      <c r="FX1" s="15"/>
      <c r="FY1" s="15"/>
      <c r="FZ1" s="15"/>
      <c r="GA1" s="15"/>
      <c r="GB1" s="15"/>
      <c r="GC1" s="15"/>
      <c r="GD1" s="15"/>
      <c r="GE1" s="15"/>
      <c r="GF1" s="15"/>
      <c r="GG1" s="15"/>
      <c r="GH1" s="15"/>
      <c r="GI1" s="15"/>
      <c r="GJ1" s="15"/>
      <c r="GK1" s="15"/>
      <c r="GL1" s="15"/>
      <c r="GM1" s="15"/>
      <c r="GN1" s="15"/>
      <c r="GO1" s="15"/>
      <c r="GP1" s="15"/>
      <c r="GQ1" s="15"/>
      <c r="GR1" s="15"/>
      <c r="GS1" s="15"/>
      <c r="GT1" s="15"/>
      <c r="GU1" s="15"/>
      <c r="GV1" s="15"/>
      <c r="GW1" s="15"/>
      <c r="GX1" s="15"/>
      <c r="GY1" s="15"/>
      <c r="GZ1" s="15"/>
      <c r="HA1" s="15"/>
      <c r="HB1" s="15"/>
      <c r="HC1" s="15"/>
      <c r="HD1" s="15"/>
      <c r="HE1" s="15"/>
      <c r="HF1" s="15"/>
      <c r="HG1" s="15"/>
      <c r="HH1" s="15"/>
      <c r="HI1" s="15"/>
      <c r="HJ1" s="15"/>
      <c r="HK1" s="15"/>
      <c r="HL1" s="15"/>
      <c r="HM1" s="15"/>
      <c r="HN1" s="15"/>
      <c r="HO1" s="15"/>
      <c r="HP1" s="15"/>
      <c r="HQ1" s="15"/>
      <c r="HR1" s="15"/>
      <c r="HS1" s="15"/>
      <c r="HT1" s="15"/>
      <c r="HU1" s="15"/>
      <c r="HV1" s="15"/>
      <c r="HW1" s="15"/>
      <c r="HX1" s="15"/>
      <c r="HY1" s="15"/>
      <c r="HZ1" s="15"/>
      <c r="IA1" s="15"/>
      <c r="IB1" s="15"/>
      <c r="IC1" s="15"/>
      <c r="ID1" s="15"/>
      <c r="IE1" s="15"/>
      <c r="IF1" s="15"/>
      <c r="IG1" s="15"/>
      <c r="IH1" s="15"/>
      <c r="II1" s="15"/>
      <c r="IJ1" s="15"/>
      <c r="IK1" s="15"/>
      <c r="IL1" s="15"/>
      <c r="IM1" s="15"/>
      <c r="IN1" s="15"/>
      <c r="IO1" s="15"/>
      <c r="IP1" s="15"/>
      <c r="IQ1" s="15"/>
      <c r="IR1" s="15"/>
      <c r="IS1" s="15"/>
      <c r="IT1" s="15"/>
      <c r="IU1" s="15"/>
      <c r="IV1" s="15"/>
      <c r="IW1" s="15"/>
      <c r="IX1" s="15"/>
      <c r="IY1" s="15"/>
      <c r="IZ1" s="15"/>
      <c r="JA1" s="15"/>
      <c r="JB1" s="15"/>
      <c r="JC1" s="15"/>
      <c r="JD1" s="15"/>
      <c r="JE1" s="15"/>
      <c r="JF1" s="15"/>
      <c r="JG1" s="15"/>
      <c r="JH1" s="15"/>
      <c r="JI1" s="15"/>
      <c r="JJ1" s="15"/>
      <c r="JK1" s="15"/>
      <c r="JL1" s="15"/>
      <c r="JM1" s="15"/>
      <c r="JN1" s="15"/>
      <c r="JO1" s="15"/>
      <c r="JP1" s="15"/>
      <c r="JQ1" s="15"/>
      <c r="JR1" s="15"/>
      <c r="JS1" s="15"/>
      <c r="JT1" s="15"/>
      <c r="JU1" s="15"/>
      <c r="JV1" s="15"/>
      <c r="JW1" s="15"/>
      <c r="JX1" s="15"/>
      <c r="JY1" s="15"/>
      <c r="JZ1" s="15"/>
      <c r="KA1" s="15"/>
      <c r="KB1" s="15"/>
      <c r="KC1" s="15"/>
      <c r="KD1" s="15"/>
      <c r="KE1" s="15"/>
      <c r="KF1" s="15"/>
      <c r="KG1" s="15"/>
      <c r="KH1" s="15"/>
      <c r="KI1" s="15"/>
      <c r="KJ1" s="15"/>
      <c r="KK1" s="15"/>
      <c r="KL1" s="15"/>
      <c r="KM1" s="15"/>
      <c r="KN1" s="15"/>
      <c r="KO1" s="15"/>
      <c r="KP1" s="15"/>
      <c r="KQ1" s="15"/>
      <c r="KR1" s="15"/>
      <c r="KS1" s="15"/>
      <c r="KT1" s="15"/>
      <c r="KU1" s="15"/>
      <c r="KV1" s="15"/>
      <c r="KW1" s="15"/>
      <c r="KX1" s="15"/>
      <c r="KY1" s="15"/>
      <c r="KZ1" s="15"/>
      <c r="LA1" s="15"/>
      <c r="LB1" s="15"/>
      <c r="LC1" s="15"/>
      <c r="LD1" s="15"/>
      <c r="LE1" s="15"/>
      <c r="LF1" s="15"/>
      <c r="LG1" s="15"/>
      <c r="LH1" s="15"/>
      <c r="LI1" s="15"/>
      <c r="LJ1" s="15"/>
      <c r="LK1" s="15"/>
      <c r="LL1" s="15"/>
      <c r="LM1" s="15"/>
      <c r="LN1" s="15"/>
      <c r="LO1" s="15"/>
      <c r="LP1" s="15"/>
      <c r="LQ1" s="15"/>
      <c r="LR1" s="15"/>
      <c r="LS1" s="15"/>
      <c r="LT1" s="15"/>
      <c r="LU1" s="15"/>
      <c r="LV1" s="15"/>
      <c r="LW1" s="15"/>
      <c r="LX1" s="15"/>
      <c r="LY1" s="15"/>
      <c r="LZ1" s="15"/>
      <c r="MA1" s="15"/>
      <c r="MB1" s="15"/>
      <c r="MC1" s="15"/>
      <c r="MD1" s="15"/>
      <c r="ME1" s="15"/>
      <c r="MF1" s="15"/>
      <c r="MG1" s="15"/>
      <c r="MH1" s="15"/>
      <c r="MI1" s="15"/>
      <c r="MJ1" s="15"/>
      <c r="MK1" s="15"/>
      <c r="ML1" s="15"/>
      <c r="MM1" s="15"/>
      <c r="MN1" s="15"/>
      <c r="MO1" s="15"/>
      <c r="MP1" s="15"/>
      <c r="MQ1" s="15"/>
      <c r="MR1" s="15"/>
      <c r="MS1" s="15"/>
      <c r="MT1" s="15"/>
      <c r="MU1" s="15"/>
      <c r="MV1" s="15"/>
      <c r="MW1" s="15"/>
      <c r="MX1" s="15"/>
      <c r="MY1" s="15"/>
      <c r="MZ1" s="15"/>
      <c r="NA1" s="15"/>
      <c r="NB1" s="15"/>
      <c r="NC1" s="15"/>
      <c r="ND1" s="15"/>
      <c r="NE1" s="15"/>
      <c r="NF1" s="15"/>
      <c r="NG1" s="15"/>
      <c r="NH1" s="15"/>
      <c r="NI1" s="15"/>
      <c r="NJ1" s="15"/>
      <c r="NK1" s="15"/>
      <c r="NL1" s="15"/>
      <c r="NM1" s="15"/>
      <c r="NN1" s="15"/>
      <c r="NO1" s="15"/>
      <c r="NP1" s="15"/>
      <c r="NQ1" s="15"/>
      <c r="NR1" s="15"/>
      <c r="NS1" s="15"/>
      <c r="NT1" s="15"/>
      <c r="NU1" s="15"/>
      <c r="NV1" s="15"/>
      <c r="NW1" s="15"/>
      <c r="NX1" s="15"/>
      <c r="NY1" s="15"/>
      <c r="NZ1" s="15"/>
      <c r="OA1" s="15"/>
      <c r="OB1" s="15"/>
      <c r="OC1" s="15"/>
      <c r="OD1" s="15"/>
      <c r="OE1" s="15"/>
      <c r="OF1" s="15"/>
      <c r="OG1" s="15"/>
      <c r="OH1" s="15"/>
      <c r="OI1" s="15"/>
      <c r="OJ1" s="15"/>
      <c r="OK1" s="15"/>
      <c r="OL1" s="15"/>
      <c r="OM1" s="15"/>
      <c r="ON1" s="15"/>
      <c r="OO1" s="15"/>
      <c r="OP1" s="15"/>
      <c r="OQ1" s="15"/>
      <c r="OR1" s="15"/>
      <c r="OS1" s="15"/>
      <c r="OT1" s="15"/>
      <c r="OU1" s="15"/>
      <c r="OV1" s="15"/>
      <c r="OW1" s="15"/>
      <c r="OX1" s="15"/>
      <c r="OY1" s="15"/>
      <c r="OZ1" s="15"/>
      <c r="PA1" s="15"/>
      <c r="PB1" s="15"/>
      <c r="PC1" s="15"/>
      <c r="PD1" s="15"/>
      <c r="PE1" s="15"/>
      <c r="PF1" s="15"/>
      <c r="PG1" s="15"/>
      <c r="PH1" s="15"/>
      <c r="PI1" s="15"/>
      <c r="PJ1" s="15"/>
      <c r="PK1" s="15"/>
      <c r="PL1" s="15"/>
      <c r="PM1" s="15"/>
      <c r="PN1" s="15"/>
      <c r="PO1" s="15"/>
      <c r="PP1" s="15"/>
      <c r="PQ1" s="15"/>
      <c r="PR1" s="15"/>
      <c r="PS1" s="15"/>
      <c r="PT1" s="15"/>
      <c r="PU1" s="15"/>
      <c r="PV1" s="15"/>
      <c r="PW1" s="15"/>
      <c r="PX1" s="15"/>
      <c r="PY1" s="15"/>
      <c r="PZ1" s="15"/>
      <c r="QA1" s="15"/>
      <c r="QB1" s="15"/>
      <c r="QC1" s="15"/>
      <c r="QD1" s="15"/>
      <c r="QE1" s="15"/>
      <c r="QF1" s="15"/>
      <c r="QG1" s="15"/>
      <c r="QH1" s="15"/>
      <c r="QI1" s="15"/>
      <c r="QJ1" s="15"/>
      <c r="QK1" s="15"/>
      <c r="QL1" s="15"/>
      <c r="QM1" s="15"/>
      <c r="QN1" s="15"/>
      <c r="QO1" s="15"/>
      <c r="QP1" s="15"/>
      <c r="QQ1" s="15"/>
      <c r="QR1" s="15"/>
      <c r="QS1" s="15"/>
      <c r="QT1" s="15"/>
      <c r="QU1" s="15"/>
      <c r="QV1" s="15"/>
      <c r="QW1" s="15"/>
      <c r="QX1" s="15"/>
      <c r="QY1" s="15"/>
      <c r="QZ1" s="15"/>
      <c r="RA1" s="15"/>
      <c r="RB1" s="15"/>
      <c r="RC1" s="15"/>
      <c r="RD1" s="15"/>
      <c r="RE1" s="15"/>
      <c r="RF1" s="15"/>
      <c r="RG1" s="15"/>
      <c r="RH1" s="15"/>
      <c r="RI1" s="15"/>
      <c r="RJ1" s="15"/>
      <c r="RK1" s="15"/>
      <c r="RL1" s="15"/>
      <c r="RM1" s="15"/>
      <c r="RN1" s="15"/>
      <c r="RO1" s="15"/>
      <c r="RP1" s="15"/>
      <c r="RQ1" s="15"/>
      <c r="RR1" s="15"/>
      <c r="RS1" s="15"/>
      <c r="RT1" s="15"/>
      <c r="RU1" s="15"/>
      <c r="RV1" s="15"/>
      <c r="RW1" s="15"/>
      <c r="RX1" s="15"/>
      <c r="RY1" s="15"/>
      <c r="RZ1" s="15"/>
      <c r="SA1" s="15"/>
      <c r="SB1" s="15"/>
      <c r="SC1" s="15"/>
      <c r="SD1" s="15"/>
      <c r="SE1" s="15"/>
      <c r="SF1" s="15"/>
      <c r="SG1" s="15"/>
      <c r="SH1" s="15"/>
      <c r="SI1" s="15"/>
      <c r="SJ1" s="15"/>
      <c r="SK1" s="15"/>
      <c r="SL1" s="15"/>
      <c r="SM1" s="15"/>
      <c r="SN1" s="15"/>
      <c r="SO1" s="15"/>
      <c r="SP1" s="15"/>
      <c r="SQ1" s="15"/>
      <c r="SR1" s="15"/>
      <c r="SS1" s="15"/>
      <c r="ST1" s="15"/>
      <c r="SU1" s="15"/>
      <c r="SV1" s="15"/>
      <c r="SW1" s="15"/>
      <c r="SX1" s="15"/>
      <c r="SY1" s="15"/>
      <c r="SZ1" s="15"/>
      <c r="TA1" s="15"/>
      <c r="TB1" s="15"/>
      <c r="TC1" s="15"/>
      <c r="TD1" s="15"/>
      <c r="TE1" s="15"/>
      <c r="TF1" s="15"/>
      <c r="TG1" s="15"/>
      <c r="TH1" s="15"/>
      <c r="TI1" s="15"/>
      <c r="TJ1" s="15"/>
      <c r="TK1" s="15"/>
      <c r="TL1" s="15"/>
      <c r="TM1" s="15"/>
      <c r="TN1" s="15"/>
      <c r="TO1" s="15"/>
      <c r="TP1" s="15"/>
      <c r="TQ1" s="15"/>
      <c r="TR1" s="15"/>
      <c r="TS1" s="15"/>
      <c r="TT1" s="15"/>
      <c r="TU1" s="15"/>
      <c r="TV1" s="15"/>
      <c r="TW1" s="15"/>
      <c r="TX1" s="15"/>
      <c r="TY1" s="15"/>
      <c r="TZ1" s="15"/>
      <c r="UA1" s="15"/>
      <c r="UB1" s="15"/>
      <c r="UC1" s="15"/>
      <c r="UD1" s="15"/>
      <c r="UE1" s="15"/>
      <c r="UF1" s="15"/>
      <c r="UG1" s="15"/>
      <c r="UH1" s="15"/>
      <c r="UI1" s="15"/>
      <c r="UJ1" s="15"/>
      <c r="UK1" s="15"/>
      <c r="UL1" s="15"/>
      <c r="UM1" s="15"/>
      <c r="UN1" s="15"/>
      <c r="UO1" s="15"/>
      <c r="UP1" s="15"/>
      <c r="UQ1" s="15"/>
      <c r="UR1" s="15"/>
      <c r="US1" s="15"/>
      <c r="UT1" s="15"/>
      <c r="UU1" s="15"/>
      <c r="UV1" s="15"/>
      <c r="UW1" s="15"/>
      <c r="UX1" s="15"/>
      <c r="UY1" s="15"/>
      <c r="UZ1" s="15"/>
      <c r="VA1" s="15"/>
      <c r="VB1" s="15"/>
      <c r="VC1" s="15"/>
      <c r="VD1" s="15"/>
      <c r="VE1" s="15"/>
      <c r="VF1" s="15"/>
      <c r="VG1" s="15"/>
      <c r="VH1" s="15"/>
      <c r="VI1" s="15"/>
      <c r="VJ1" s="15"/>
      <c r="VK1" s="15"/>
      <c r="VL1" s="15"/>
      <c r="VM1" s="15"/>
      <c r="VN1" s="15"/>
      <c r="VO1" s="15"/>
      <c r="VP1" s="15"/>
      <c r="VQ1" s="15"/>
      <c r="VR1" s="15"/>
      <c r="VS1" s="15"/>
      <c r="VT1" s="15"/>
      <c r="VU1" s="15"/>
      <c r="VV1" s="15"/>
      <c r="VW1" s="15"/>
      <c r="VX1" s="15"/>
      <c r="VY1" s="15"/>
      <c r="VZ1" s="15"/>
      <c r="WA1" s="15"/>
      <c r="WB1" s="15"/>
      <c r="WC1" s="15"/>
      <c r="WD1" s="15"/>
      <c r="WE1" s="15"/>
      <c r="WF1" s="15"/>
      <c r="WG1" s="15"/>
      <c r="WH1" s="15"/>
      <c r="WI1" s="15"/>
      <c r="WJ1" s="15"/>
      <c r="WK1" s="15"/>
      <c r="WL1" s="15"/>
      <c r="WM1" s="15"/>
      <c r="WN1" s="15"/>
      <c r="WO1" s="15"/>
      <c r="WP1" s="15"/>
      <c r="WQ1" s="15"/>
      <c r="WR1" s="15"/>
      <c r="WS1" s="15"/>
      <c r="WT1" s="15"/>
      <c r="WU1" s="15"/>
      <c r="WV1" s="15"/>
      <c r="WW1" s="15"/>
      <c r="WX1" s="15"/>
      <c r="WY1" s="15"/>
      <c r="WZ1" s="15"/>
      <c r="XA1" s="15"/>
      <c r="XB1" s="15"/>
      <c r="XC1" s="15"/>
      <c r="XD1" s="15"/>
      <c r="XE1" s="15"/>
      <c r="XF1" s="15"/>
      <c r="XG1" s="15"/>
      <c r="XH1" s="15"/>
      <c r="XI1" s="15"/>
      <c r="XJ1" s="15"/>
      <c r="XK1" s="15"/>
      <c r="XL1" s="15"/>
      <c r="XM1" s="15"/>
      <c r="XN1" s="15"/>
      <c r="XO1" s="15"/>
      <c r="XP1" s="15"/>
      <c r="XQ1" s="15"/>
      <c r="XR1" s="15"/>
      <c r="XS1" s="15"/>
      <c r="XT1" s="15"/>
      <c r="XU1" s="15"/>
      <c r="XV1" s="15"/>
      <c r="XW1" s="15"/>
      <c r="XX1" s="15"/>
      <c r="XY1" s="15"/>
      <c r="XZ1" s="15"/>
      <c r="YA1" s="15"/>
      <c r="YB1" s="15"/>
      <c r="YC1" s="15"/>
      <c r="YD1" s="15"/>
      <c r="YE1" s="15"/>
      <c r="YF1" s="15"/>
      <c r="YG1" s="15"/>
      <c r="YH1" s="15"/>
      <c r="YI1" s="15"/>
      <c r="YJ1" s="15"/>
      <c r="YK1" s="15"/>
      <c r="YL1" s="15"/>
      <c r="YM1" s="15"/>
      <c r="YN1" s="15"/>
      <c r="YO1" s="15"/>
      <c r="YP1" s="15"/>
      <c r="YQ1" s="15"/>
      <c r="YR1" s="15"/>
      <c r="YS1" s="15"/>
      <c r="YT1" s="15"/>
      <c r="YU1" s="15"/>
      <c r="YV1" s="15"/>
      <c r="YW1" s="15"/>
      <c r="YX1" s="15"/>
      <c r="YY1" s="15"/>
      <c r="YZ1" s="15"/>
      <c r="ZA1" s="15"/>
      <c r="ZB1" s="15"/>
      <c r="ZC1" s="15"/>
      <c r="ZD1" s="15"/>
      <c r="ZE1" s="15"/>
      <c r="ZF1" s="15"/>
      <c r="ZG1" s="15"/>
      <c r="ZH1" s="15"/>
      <c r="ZI1" s="15"/>
      <c r="ZJ1" s="15"/>
      <c r="ZK1" s="15"/>
      <c r="ZL1" s="15"/>
      <c r="ZM1" s="15"/>
      <c r="ZN1" s="15"/>
      <c r="ZO1" s="15"/>
      <c r="ZP1" s="15"/>
      <c r="ZQ1" s="15"/>
      <c r="ZR1" s="15"/>
      <c r="ZS1" s="15"/>
      <c r="ZT1" s="15"/>
      <c r="ZU1" s="15"/>
      <c r="ZV1" s="15"/>
      <c r="ZW1" s="15"/>
      <c r="ZX1" s="15"/>
      <c r="ZY1" s="15"/>
      <c r="ZZ1" s="15"/>
      <c r="AAA1" s="15"/>
      <c r="AAB1" s="15"/>
      <c r="AAC1" s="15"/>
      <c r="AAD1" s="15"/>
      <c r="AAE1" s="15"/>
      <c r="AAF1" s="15"/>
      <c r="AAG1" s="15"/>
      <c r="AAH1" s="15"/>
      <c r="AAI1" s="15"/>
      <c r="AAJ1" s="15"/>
      <c r="AAK1" s="15"/>
      <c r="AAL1" s="15"/>
      <c r="AAM1" s="15"/>
      <c r="AAN1" s="15"/>
      <c r="AAO1" s="15"/>
      <c r="AAP1" s="15"/>
      <c r="AAQ1" s="15"/>
      <c r="AAR1" s="15"/>
      <c r="AAS1" s="15"/>
      <c r="AAT1" s="15"/>
      <c r="AAU1" s="15"/>
      <c r="AAV1" s="15"/>
      <c r="AAW1" s="15"/>
      <c r="AAX1" s="15"/>
      <c r="AAY1" s="15"/>
      <c r="AAZ1" s="15"/>
      <c r="ABA1" s="15"/>
      <c r="ABB1" s="15"/>
      <c r="ABC1" s="15"/>
      <c r="ABD1" s="15"/>
      <c r="ABE1" s="15"/>
      <c r="ABF1" s="15"/>
      <c r="ABG1" s="15"/>
      <c r="ABH1" s="15"/>
      <c r="ABI1" s="15"/>
      <c r="ABJ1" s="15"/>
      <c r="ABK1" s="15"/>
      <c r="ABL1" s="15"/>
      <c r="ABM1" s="15"/>
      <c r="ABN1" s="15"/>
      <c r="ABO1" s="15"/>
      <c r="ABP1" s="15"/>
      <c r="ABQ1" s="15"/>
      <c r="ABR1" s="15"/>
      <c r="ABS1" s="15"/>
      <c r="ABT1" s="15"/>
      <c r="ABU1" s="15"/>
      <c r="ABV1" s="15"/>
      <c r="ABW1" s="15"/>
      <c r="ABX1" s="15"/>
      <c r="ABY1" s="15"/>
      <c r="ABZ1" s="15"/>
      <c r="ACA1" s="15"/>
      <c r="ACB1" s="15"/>
      <c r="ACC1" s="15"/>
      <c r="ACD1" s="15"/>
      <c r="ACE1" s="15"/>
      <c r="ACF1" s="15"/>
      <c r="ACG1" s="15"/>
      <c r="ACH1" s="15"/>
      <c r="ACI1" s="15"/>
      <c r="ACJ1" s="15"/>
      <c r="ACK1" s="15"/>
      <c r="ACL1" s="15"/>
      <c r="ACM1" s="15"/>
      <c r="ACN1" s="15"/>
      <c r="ACO1" s="15"/>
      <c r="ACP1" s="15"/>
      <c r="ACQ1" s="15"/>
      <c r="ACR1" s="15"/>
      <c r="ACS1" s="15"/>
      <c r="ACT1" s="15"/>
      <c r="ACU1" s="15"/>
      <c r="ACV1" s="15"/>
      <c r="ACW1" s="15"/>
      <c r="ACX1" s="15"/>
      <c r="ACY1" s="15"/>
      <c r="ACZ1" s="15"/>
      <c r="ADA1" s="15"/>
      <c r="ADB1" s="15"/>
      <c r="ADC1" s="15"/>
      <c r="ADD1" s="15"/>
      <c r="ADE1" s="15"/>
      <c r="ADF1" s="15"/>
      <c r="ADG1" s="15"/>
      <c r="ADH1" s="15"/>
      <c r="ADI1" s="15"/>
      <c r="ADJ1" s="15"/>
      <c r="ADK1" s="15"/>
      <c r="ADL1" s="15"/>
      <c r="ADM1" s="15"/>
      <c r="ADN1" s="15"/>
      <c r="ADO1" s="15"/>
      <c r="ADP1" s="15"/>
      <c r="ADQ1" s="15"/>
      <c r="ADR1" s="15"/>
      <c r="ADS1" s="15"/>
      <c r="ADT1" s="15"/>
      <c r="ADU1" s="15"/>
      <c r="ADV1" s="15"/>
      <c r="ADW1" s="15"/>
      <c r="ADX1" s="15"/>
      <c r="ADY1" s="15"/>
      <c r="ADZ1" s="15"/>
      <c r="AEA1" s="15"/>
      <c r="AEB1" s="15"/>
      <c r="AEC1" s="15"/>
      <c r="AED1" s="15"/>
      <c r="AEE1" s="15"/>
      <c r="AEF1" s="15"/>
      <c r="AEG1" s="15"/>
      <c r="AEH1" s="15"/>
      <c r="AEI1" s="15"/>
      <c r="AEJ1" s="15"/>
      <c r="AEK1" s="15"/>
      <c r="AEL1" s="15"/>
      <c r="AEM1" s="15"/>
      <c r="AEN1" s="15"/>
      <c r="AEO1" s="15"/>
      <c r="AEP1" s="15"/>
      <c r="AEQ1" s="15"/>
      <c r="AER1" s="15"/>
      <c r="AES1" s="15"/>
      <c r="AET1" s="15"/>
      <c r="AEU1" s="15"/>
      <c r="AEV1" s="15"/>
      <c r="AEW1" s="15"/>
      <c r="AEX1" s="15"/>
      <c r="AEY1" s="15"/>
      <c r="AEZ1" s="15"/>
      <c r="AFA1" s="15"/>
      <c r="AFB1" s="15"/>
      <c r="AFC1" s="15"/>
      <c r="AFD1" s="15"/>
      <c r="AFE1" s="15"/>
      <c r="AFF1" s="15"/>
      <c r="AFG1" s="15"/>
      <c r="AFH1" s="15"/>
      <c r="AFI1" s="15"/>
      <c r="AFJ1" s="15"/>
      <c r="AFK1" s="15"/>
      <c r="AFL1" s="15"/>
      <c r="AFM1" s="15"/>
      <c r="AFN1" s="15"/>
      <c r="AFO1" s="15"/>
      <c r="AFP1" s="15"/>
      <c r="AFQ1" s="15"/>
      <c r="AFR1" s="15"/>
      <c r="AFS1" s="15"/>
      <c r="AFT1" s="15"/>
      <c r="AFU1" s="15"/>
      <c r="AFV1" s="15"/>
      <c r="AFW1" s="15"/>
      <c r="AFX1" s="15"/>
      <c r="AFY1" s="15"/>
      <c r="AFZ1" s="15"/>
      <c r="AGA1" s="15"/>
      <c r="AGB1" s="15"/>
      <c r="AGC1" s="15"/>
      <c r="AGD1" s="15"/>
      <c r="AGE1" s="15"/>
      <c r="AGF1" s="15"/>
      <c r="AGG1" s="15"/>
      <c r="AGH1" s="15"/>
      <c r="AGI1" s="15"/>
      <c r="AGJ1" s="15"/>
      <c r="AGK1" s="15"/>
      <c r="AGL1" s="15"/>
      <c r="AGM1" s="15"/>
      <c r="AGN1" s="15"/>
      <c r="AGO1" s="15"/>
      <c r="AGP1" s="15"/>
      <c r="AGQ1" s="15"/>
      <c r="AGR1" s="15"/>
      <c r="AGS1" s="15"/>
      <c r="AGT1" s="15"/>
      <c r="AGU1" s="15"/>
      <c r="AGV1" s="15"/>
      <c r="AGW1" s="15"/>
      <c r="AGX1" s="15"/>
      <c r="AGY1" s="15"/>
      <c r="AGZ1" s="15"/>
      <c r="AHA1" s="15"/>
      <c r="AHB1" s="15"/>
      <c r="AHC1" s="15"/>
      <c r="AHD1" s="15"/>
      <c r="AHE1" s="15"/>
      <c r="AHF1" s="15"/>
      <c r="AHG1" s="15"/>
      <c r="AHH1" s="15"/>
      <c r="AHI1" s="15"/>
      <c r="AHJ1" s="15"/>
      <c r="AHK1" s="15"/>
      <c r="AHL1" s="15"/>
      <c r="AHM1" s="15"/>
      <c r="AHN1" s="15"/>
      <c r="AHO1" s="15"/>
      <c r="AHP1" s="15"/>
      <c r="AHQ1" s="15"/>
      <c r="AHR1" s="15"/>
      <c r="AHS1" s="15"/>
      <c r="AHT1" s="15"/>
      <c r="AHU1" s="15"/>
      <c r="AHV1" s="15"/>
      <c r="AHW1" s="15"/>
      <c r="AHX1" s="15"/>
      <c r="AHY1" s="15"/>
      <c r="AHZ1" s="15"/>
      <c r="AIA1" s="15"/>
      <c r="AIB1" s="15"/>
      <c r="AIC1" s="15"/>
      <c r="AID1" s="15"/>
      <c r="AIE1" s="15"/>
      <c r="AIF1" s="15"/>
      <c r="AIG1" s="15"/>
      <c r="AIH1" s="15"/>
      <c r="AII1" s="15"/>
      <c r="AIJ1" s="15"/>
      <c r="AIK1" s="15"/>
      <c r="AIL1" s="15"/>
      <c r="AIM1" s="15"/>
      <c r="AIN1" s="15"/>
      <c r="AIO1" s="15"/>
      <c r="AIP1" s="15"/>
      <c r="AIQ1" s="15"/>
      <c r="AIR1" s="15"/>
      <c r="AIS1" s="15"/>
      <c r="AIT1" s="15"/>
      <c r="AIU1" s="15"/>
      <c r="AIV1" s="15"/>
      <c r="AIW1" s="15"/>
      <c r="AIX1" s="15"/>
      <c r="AIY1" s="15"/>
      <c r="AIZ1" s="15"/>
      <c r="AJA1" s="15"/>
      <c r="AJB1" s="15"/>
      <c r="AJC1" s="15"/>
      <c r="AJD1" s="15"/>
      <c r="AJE1" s="15"/>
      <c r="AJF1" s="15"/>
      <c r="AJG1" s="15"/>
      <c r="AJH1" s="15"/>
      <c r="AJI1" s="15"/>
      <c r="AJJ1" s="15"/>
      <c r="AJK1" s="15"/>
      <c r="AJL1" s="15"/>
      <c r="AJM1" s="15"/>
      <c r="AJN1" s="15"/>
      <c r="AJO1" s="15"/>
      <c r="AJP1" s="15"/>
      <c r="AJQ1" s="15"/>
      <c r="AJR1" s="15"/>
      <c r="AJS1" s="15"/>
      <c r="AJT1" s="15"/>
      <c r="AJU1" s="15"/>
      <c r="AJV1" s="15"/>
      <c r="AJW1" s="15"/>
      <c r="AJX1" s="15"/>
      <c r="AJY1" s="15"/>
      <c r="AJZ1" s="15"/>
      <c r="AKA1" s="15"/>
      <c r="AKB1" s="15"/>
      <c r="AKC1" s="15"/>
      <c r="AKD1" s="15"/>
      <c r="AKE1" s="15"/>
      <c r="AKF1" s="15"/>
      <c r="AKG1" s="15"/>
      <c r="AKH1" s="15"/>
      <c r="AKI1" s="15"/>
      <c r="AKJ1" s="15"/>
      <c r="AKK1" s="15"/>
      <c r="AKL1" s="15"/>
      <c r="AKM1" s="15"/>
      <c r="AKN1" s="15"/>
      <c r="AKO1" s="15"/>
      <c r="AKP1" s="15"/>
      <c r="AKQ1" s="15"/>
      <c r="AKR1" s="15"/>
      <c r="AKS1" s="15"/>
      <c r="AKT1" s="15"/>
      <c r="AKU1" s="15"/>
      <c r="AKV1" s="15"/>
      <c r="AKW1" s="15"/>
      <c r="AKX1" s="15"/>
      <c r="AKY1" s="15"/>
      <c r="AKZ1" s="15"/>
      <c r="ALA1" s="15"/>
      <c r="ALB1" s="15"/>
      <c r="ALC1" s="15"/>
      <c r="ALD1" s="15"/>
      <c r="ALE1" s="15"/>
      <c r="ALF1" s="15"/>
      <c r="ALG1" s="15"/>
      <c r="ALH1" s="15"/>
      <c r="ALI1" s="15"/>
      <c r="ALJ1" s="15"/>
      <c r="ALK1" s="15"/>
      <c r="ALL1" s="15"/>
      <c r="ALM1" s="15"/>
      <c r="ALN1" s="15"/>
      <c r="ALO1" s="15"/>
      <c r="ALP1" s="15"/>
      <c r="ALQ1" s="15"/>
      <c r="ALR1" s="15"/>
      <c r="ALS1" s="15"/>
      <c r="ALT1" s="15"/>
      <c r="ALU1" s="15"/>
      <c r="ALV1" s="15"/>
      <c r="ALW1" s="15"/>
      <c r="ALX1" s="15"/>
      <c r="ALY1" s="15"/>
      <c r="ALZ1" s="15"/>
      <c r="AMA1" s="15"/>
      <c r="AMB1" s="15"/>
      <c r="AMC1" s="15"/>
      <c r="AMD1" s="15"/>
      <c r="AME1" s="15"/>
      <c r="AMF1" s="15"/>
      <c r="AMG1" s="15"/>
      <c r="AMH1" s="15"/>
    </row>
    <row r="2" spans="1:1022" x14ac:dyDescent="0.2">
      <c r="A2" s="2" t="s">
        <v>269</v>
      </c>
      <c r="B2" s="2" t="s">
        <v>270</v>
      </c>
      <c r="C2" s="2" t="s">
        <v>271</v>
      </c>
    </row>
    <row r="3" spans="1:1022" x14ac:dyDescent="0.2">
      <c r="A3" s="1">
        <v>1</v>
      </c>
      <c r="B3" s="1" t="s">
        <v>272</v>
      </c>
      <c r="C3" s="14" t="s">
        <v>17</v>
      </c>
    </row>
    <row r="4" spans="1:1022" x14ac:dyDescent="0.2">
      <c r="A4" s="1">
        <v>2</v>
      </c>
      <c r="B4" s="1" t="s">
        <v>272</v>
      </c>
      <c r="C4" s="14" t="s">
        <v>273</v>
      </c>
    </row>
    <row r="5" spans="1:1022" x14ac:dyDescent="0.2">
      <c r="A5" s="1">
        <v>3</v>
      </c>
      <c r="B5" s="1" t="s">
        <v>274</v>
      </c>
      <c r="C5" s="14" t="s">
        <v>275</v>
      </c>
    </row>
    <row r="6" spans="1:1022" x14ac:dyDescent="0.2">
      <c r="A6" s="1">
        <v>4</v>
      </c>
      <c r="B6" s="1" t="s">
        <v>274</v>
      </c>
      <c r="C6" s="14" t="s">
        <v>276</v>
      </c>
    </row>
    <row r="7" spans="1:1022" x14ac:dyDescent="0.2">
      <c r="A7" s="1">
        <v>5</v>
      </c>
      <c r="B7" s="1" t="s">
        <v>274</v>
      </c>
      <c r="C7" s="14" t="s">
        <v>277</v>
      </c>
    </row>
    <row r="8" spans="1:1022" x14ac:dyDescent="0.2">
      <c r="A8" s="1">
        <v>6</v>
      </c>
      <c r="B8" s="1" t="s">
        <v>278</v>
      </c>
      <c r="C8" s="14" t="s">
        <v>69</v>
      </c>
    </row>
    <row r="9" spans="1:1022" x14ac:dyDescent="0.2">
      <c r="A9" s="1">
        <v>7</v>
      </c>
      <c r="B9" s="1" t="s">
        <v>274</v>
      </c>
      <c r="C9" s="14" t="s">
        <v>279</v>
      </c>
    </row>
    <row r="10" spans="1:1022" x14ac:dyDescent="0.2">
      <c r="A10" s="1">
        <v>8</v>
      </c>
      <c r="B10" s="1" t="s">
        <v>272</v>
      </c>
      <c r="C10" s="14" t="s">
        <v>279</v>
      </c>
    </row>
    <row r="11" spans="1:1022" x14ac:dyDescent="0.2">
      <c r="A11" s="1">
        <v>9</v>
      </c>
      <c r="B11" s="1" t="s">
        <v>278</v>
      </c>
      <c r="C11" s="14" t="s">
        <v>280</v>
      </c>
    </row>
    <row r="12" spans="1:1022" x14ac:dyDescent="0.2">
      <c r="A12" s="1">
        <v>9</v>
      </c>
      <c r="B12" s="1" t="s">
        <v>274</v>
      </c>
      <c r="C12" s="14" t="s">
        <v>280</v>
      </c>
    </row>
    <row r="13" spans="1:1022" x14ac:dyDescent="0.2">
      <c r="A13" s="1">
        <v>10</v>
      </c>
      <c r="B13" s="1" t="s">
        <v>278</v>
      </c>
      <c r="C13" s="14" t="s">
        <v>281</v>
      </c>
    </row>
    <row r="14" spans="1:1022" x14ac:dyDescent="0.2">
      <c r="A14" s="1">
        <v>10</v>
      </c>
      <c r="B14" s="1" t="s">
        <v>272</v>
      </c>
      <c r="C14" s="14" t="s">
        <v>281</v>
      </c>
    </row>
    <row r="15" spans="1:1022" x14ac:dyDescent="0.2">
      <c r="A15" s="1">
        <v>11</v>
      </c>
      <c r="B15" s="1" t="s">
        <v>274</v>
      </c>
      <c r="C15" s="14" t="s">
        <v>282</v>
      </c>
    </row>
    <row r="16" spans="1:1022" x14ac:dyDescent="0.2">
      <c r="A16" s="1">
        <v>12</v>
      </c>
      <c r="B16" s="1" t="s">
        <v>272</v>
      </c>
      <c r="C16" s="14" t="s">
        <v>283</v>
      </c>
    </row>
    <row r="17" spans="1:3" x14ac:dyDescent="0.2">
      <c r="A17" s="1">
        <v>13</v>
      </c>
      <c r="B17" s="1" t="s">
        <v>278</v>
      </c>
      <c r="C17" s="14" t="s">
        <v>284</v>
      </c>
    </row>
    <row r="18" spans="1:3" x14ac:dyDescent="0.2">
      <c r="A18" s="1">
        <v>14</v>
      </c>
      <c r="B18" s="1" t="s">
        <v>272</v>
      </c>
      <c r="C18" s="14" t="s">
        <v>284</v>
      </c>
    </row>
    <row r="19" spans="1:3" x14ac:dyDescent="0.2">
      <c r="A19" s="1">
        <v>15</v>
      </c>
      <c r="B19" s="1" t="s">
        <v>274</v>
      </c>
      <c r="C19" s="14" t="s">
        <v>285</v>
      </c>
    </row>
    <row r="20" spans="1:3" x14ac:dyDescent="0.2">
      <c r="A20" s="1">
        <v>16</v>
      </c>
      <c r="B20" s="1" t="s">
        <v>272</v>
      </c>
      <c r="C20" s="14" t="s">
        <v>286</v>
      </c>
    </row>
    <row r="21" spans="1:3" x14ac:dyDescent="0.2">
      <c r="A21" s="1">
        <v>98</v>
      </c>
      <c r="B21" s="1" t="s">
        <v>272</v>
      </c>
      <c r="C21" s="14" t="s">
        <v>287</v>
      </c>
    </row>
    <row r="22" spans="1:3" x14ac:dyDescent="0.2">
      <c r="A22" s="1">
        <v>99</v>
      </c>
      <c r="B22" s="1" t="s">
        <v>274</v>
      </c>
      <c r="C22" s="14" t="s">
        <v>288</v>
      </c>
    </row>
    <row r="23" spans="1:3" x14ac:dyDescent="0.2">
      <c r="A23" s="1">
        <v>17</v>
      </c>
      <c r="B23" s="1" t="s">
        <v>278</v>
      </c>
      <c r="C23" s="14" t="s">
        <v>289</v>
      </c>
    </row>
  </sheetData>
  <pageMargins left="0" right="0" top="0.39370078740157483" bottom="0.39370078740157483" header="0" footer="0"/>
  <headerFooter>
    <oddHeader>&amp;C&amp;A</oddHeader>
    <oddFooter>&amp;CPagina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409B9-4D4D-456B-BC54-F867FAE589F3}">
  <dimension ref="A1:B2"/>
  <sheetViews>
    <sheetView workbookViewId="0">
      <pane xSplit="1" ySplit="2" topLeftCell="B3" activePane="bottomRight" state="frozen"/>
      <selection pane="topRight"/>
      <selection pane="bottomLeft"/>
      <selection pane="bottomRight"/>
    </sheetView>
  </sheetViews>
  <sheetFormatPr defaultColWidth="8.75" defaultRowHeight="12.75" x14ac:dyDescent="0.2"/>
  <cols>
    <col min="1" max="1" width="18.75" style="17" customWidth="1"/>
    <col min="2" max="2" width="11.5" style="17" customWidth="1"/>
    <col min="3" max="16384" width="8.75" style="17"/>
  </cols>
  <sheetData>
    <row r="1" spans="1:2" s="18" customFormat="1" x14ac:dyDescent="0.2">
      <c r="A1" s="16" t="str">
        <f>CONCATENATE("Besluittypen bij zaaktype ",Zaaktype!B2,": ",Zaaktype!B3)</f>
        <v>Besluittypen bij zaaktype 14: Voorlopige voorziening behandelen</v>
      </c>
      <c r="B1" s="16"/>
    </row>
    <row r="2" spans="1:2" ht="25.5" x14ac:dyDescent="0.2">
      <c r="A2" s="2" t="s">
        <v>290</v>
      </c>
      <c r="B2" s="2" t="s">
        <v>60</v>
      </c>
    </row>
  </sheetData>
  <pageMargins left="0" right="0" top="0.39370078740157483" bottom="0.39370078740157483" header="0" footer="0"/>
  <headerFooter>
    <oddHeader>&amp;C&amp;A</oddHeader>
    <oddFooter>&amp;CPagina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8"/>
  <dimension ref="A1:AMR13"/>
  <sheetViews>
    <sheetView workbookViewId="0">
      <pane xSplit="2" ySplit="2" topLeftCell="C3" activePane="bottomRight" state="frozen"/>
      <selection pane="topRight"/>
      <selection pane="bottomLeft"/>
      <selection pane="bottomRight" activeCell="A2" sqref="A2"/>
    </sheetView>
  </sheetViews>
  <sheetFormatPr defaultColWidth="9" defaultRowHeight="12.75" x14ac:dyDescent="0.2"/>
  <cols>
    <col min="1" max="1" width="18.25" style="10" customWidth="1"/>
    <col min="2" max="2" width="9.75" style="10" customWidth="1"/>
    <col min="3" max="3" width="23.625" style="10" customWidth="1"/>
    <col min="4" max="4" width="20.25" style="10" customWidth="1"/>
    <col min="5" max="5" width="19.875" style="10" customWidth="1"/>
    <col min="6" max="6" width="10.625" style="10" customWidth="1"/>
    <col min="7" max="7" width="14.25" style="10" customWidth="1"/>
    <col min="8" max="8" width="20.125" style="10" customWidth="1"/>
    <col min="9" max="9" width="9.75" style="10" customWidth="1"/>
    <col min="10" max="10" width="14.375" style="7" customWidth="1"/>
    <col min="11" max="11" width="20.875" style="10" customWidth="1"/>
    <col min="12" max="16" width="19.75" style="10" customWidth="1"/>
    <col min="17" max="17" width="51.25" style="10" customWidth="1"/>
    <col min="18" max="18" width="28.5" style="10" customWidth="1"/>
    <col min="19" max="19" width="25.5" style="10" customWidth="1"/>
    <col min="20" max="20" width="26.75" style="10" customWidth="1"/>
    <col min="21" max="21" width="17.625" style="10" customWidth="1"/>
    <col min="22" max="16384" width="9" style="10"/>
  </cols>
  <sheetData>
    <row r="1" spans="1:1032" s="9" customFormat="1" x14ac:dyDescent="0.2">
      <c r="A1" s="9" t="str">
        <f>CONCATENATE("Resultaattypen bij zaaktype ",Zaaktype!B2,": ",Zaaktype!B3)</f>
        <v>Resultaattypen bij zaaktype 14: Voorlopige voorziening behandelen</v>
      </c>
      <c r="J1" s="11"/>
    </row>
    <row r="2" spans="1:1032" s="24" customFormat="1" ht="38.25" x14ac:dyDescent="0.2">
      <c r="A2" s="4" t="s">
        <v>291</v>
      </c>
      <c r="B2" s="4" t="s">
        <v>292</v>
      </c>
      <c r="C2" s="4" t="s">
        <v>293</v>
      </c>
      <c r="D2" s="4" t="s">
        <v>294</v>
      </c>
      <c r="E2" s="4" t="s">
        <v>295</v>
      </c>
      <c r="F2" s="4" t="s">
        <v>296</v>
      </c>
      <c r="G2" s="4" t="s">
        <v>297</v>
      </c>
      <c r="H2" s="4" t="s">
        <v>298</v>
      </c>
      <c r="I2" s="4" t="s">
        <v>299</v>
      </c>
      <c r="J2" s="4" t="s">
        <v>300</v>
      </c>
      <c r="K2" s="4" t="s">
        <v>301</v>
      </c>
      <c r="L2" s="4" t="s">
        <v>302</v>
      </c>
      <c r="M2" s="4" t="s">
        <v>303</v>
      </c>
      <c r="N2" s="4" t="s">
        <v>304</v>
      </c>
      <c r="O2" s="4" t="s">
        <v>305</v>
      </c>
      <c r="P2" s="4" t="s">
        <v>306</v>
      </c>
      <c r="Q2" s="4" t="s">
        <v>10</v>
      </c>
      <c r="R2" s="4" t="s">
        <v>307</v>
      </c>
      <c r="S2" s="4" t="s">
        <v>308</v>
      </c>
      <c r="T2" s="4" t="s">
        <v>309</v>
      </c>
      <c r="U2" s="4" t="s">
        <v>310</v>
      </c>
    </row>
    <row r="3" spans="1:1032" ht="38.25" x14ac:dyDescent="0.2">
      <c r="A3" s="10" t="s">
        <v>311</v>
      </c>
      <c r="B3" s="10" t="s">
        <v>312</v>
      </c>
      <c r="C3" s="10" t="s">
        <v>311</v>
      </c>
      <c r="D3" s="10" t="s">
        <v>311</v>
      </c>
      <c r="F3" s="10" t="s">
        <v>163</v>
      </c>
      <c r="G3" s="10" t="s">
        <v>313</v>
      </c>
      <c r="H3" s="10" t="s">
        <v>314</v>
      </c>
      <c r="J3" s="7">
        <v>12</v>
      </c>
      <c r="K3" s="10" t="s">
        <v>315</v>
      </c>
      <c r="Q3" s="13" t="s">
        <v>362</v>
      </c>
      <c r="T3" s="10" t="s">
        <v>316</v>
      </c>
    </row>
    <row r="4" spans="1:1032" ht="25.5" x14ac:dyDescent="0.2">
      <c r="A4" s="10" t="s">
        <v>317</v>
      </c>
      <c r="B4" s="10" t="s">
        <v>312</v>
      </c>
      <c r="C4" s="10" t="s">
        <v>315</v>
      </c>
      <c r="D4" s="10" t="s">
        <v>317</v>
      </c>
      <c r="F4" s="10" t="s">
        <v>163</v>
      </c>
      <c r="G4" s="10" t="s">
        <v>318</v>
      </c>
      <c r="H4" s="10" t="s">
        <v>314</v>
      </c>
      <c r="J4" s="7">
        <v>12</v>
      </c>
      <c r="K4" s="10" t="s">
        <v>315</v>
      </c>
      <c r="Q4" s="10" t="s">
        <v>319</v>
      </c>
      <c r="T4" s="7" t="s">
        <v>286</v>
      </c>
    </row>
    <row r="5" spans="1:1032" ht="25.5" x14ac:dyDescent="0.2">
      <c r="A5" s="7" t="s">
        <v>320</v>
      </c>
      <c r="B5" s="10" t="s">
        <v>312</v>
      </c>
      <c r="C5" s="7" t="s">
        <v>311</v>
      </c>
      <c r="D5" s="7" t="s">
        <v>320</v>
      </c>
      <c r="E5" s="7"/>
      <c r="F5" s="10" t="s">
        <v>163</v>
      </c>
      <c r="G5" s="7" t="s">
        <v>313</v>
      </c>
      <c r="H5" s="10" t="s">
        <v>314</v>
      </c>
      <c r="I5" s="7"/>
      <c r="J5" s="7">
        <v>12</v>
      </c>
      <c r="K5" s="10" t="s">
        <v>315</v>
      </c>
      <c r="L5" s="7"/>
      <c r="M5" s="7"/>
      <c r="N5" s="7"/>
      <c r="O5" s="7"/>
      <c r="P5" s="7"/>
      <c r="Q5" s="10" t="s">
        <v>363</v>
      </c>
      <c r="R5" s="7"/>
      <c r="S5" s="7"/>
      <c r="T5" s="7" t="s">
        <v>316</v>
      </c>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c r="IW5" s="7"/>
      <c r="IX5" s="7"/>
      <c r="IY5" s="7"/>
      <c r="IZ5" s="7"/>
      <c r="JA5" s="7"/>
      <c r="JB5" s="7"/>
      <c r="JC5" s="7"/>
      <c r="JD5" s="7"/>
      <c r="JE5" s="7"/>
      <c r="JF5" s="7"/>
      <c r="JG5" s="7"/>
      <c r="JH5" s="7"/>
      <c r="JI5" s="7"/>
      <c r="JJ5" s="7"/>
      <c r="JK5" s="7"/>
      <c r="JL5" s="7"/>
      <c r="JM5" s="7"/>
      <c r="JN5" s="7"/>
      <c r="JO5" s="7"/>
      <c r="JP5" s="7"/>
      <c r="JQ5" s="7"/>
      <c r="JR5" s="7"/>
      <c r="JS5" s="7"/>
      <c r="JT5" s="7"/>
      <c r="JU5" s="7"/>
      <c r="JV5" s="7"/>
      <c r="JW5" s="7"/>
      <c r="JX5" s="7"/>
      <c r="JY5" s="7"/>
      <c r="JZ5" s="7"/>
      <c r="KA5" s="7"/>
      <c r="KB5" s="7"/>
      <c r="KC5" s="7"/>
      <c r="KD5" s="7"/>
      <c r="KE5" s="7"/>
      <c r="KF5" s="7"/>
      <c r="KG5" s="7"/>
      <c r="KH5" s="7"/>
      <c r="KI5" s="7"/>
      <c r="KJ5" s="7"/>
      <c r="KK5" s="7"/>
      <c r="KL5" s="7"/>
      <c r="KM5" s="7"/>
      <c r="KN5" s="7"/>
      <c r="KO5" s="7"/>
      <c r="KP5" s="7"/>
      <c r="KQ5" s="7"/>
      <c r="KR5" s="7"/>
      <c r="KS5" s="7"/>
      <c r="KT5" s="7"/>
      <c r="KU5" s="7"/>
      <c r="KV5" s="7"/>
      <c r="KW5" s="7"/>
      <c r="KX5" s="7"/>
      <c r="KY5" s="7"/>
      <c r="KZ5" s="7"/>
      <c r="LA5" s="7"/>
      <c r="LB5" s="7"/>
      <c r="LC5" s="7"/>
      <c r="LD5" s="7"/>
      <c r="LE5" s="7"/>
      <c r="LF5" s="7"/>
      <c r="LG5" s="7"/>
      <c r="LH5" s="7"/>
      <c r="LI5" s="7"/>
      <c r="LJ5" s="7"/>
      <c r="LK5" s="7"/>
      <c r="LL5" s="7"/>
      <c r="LM5" s="7"/>
      <c r="LN5" s="7"/>
      <c r="LO5" s="7"/>
      <c r="LP5" s="7"/>
      <c r="LQ5" s="7"/>
      <c r="LR5" s="7"/>
      <c r="LS5" s="7"/>
      <c r="LT5" s="7"/>
      <c r="LU5" s="7"/>
      <c r="LV5" s="7"/>
      <c r="LW5" s="7"/>
      <c r="LX5" s="7"/>
      <c r="LY5" s="7"/>
      <c r="LZ5" s="7"/>
      <c r="MA5" s="7"/>
      <c r="MB5" s="7"/>
      <c r="MC5" s="7"/>
      <c r="MD5" s="7"/>
      <c r="ME5" s="7"/>
      <c r="MF5" s="7"/>
      <c r="MG5" s="7"/>
      <c r="MH5" s="7"/>
      <c r="MI5" s="7"/>
      <c r="MJ5" s="7"/>
      <c r="MK5" s="7"/>
      <c r="ML5" s="7"/>
      <c r="MM5" s="7"/>
      <c r="MN5" s="7"/>
      <c r="MO5" s="7"/>
      <c r="MP5" s="7"/>
      <c r="MQ5" s="7"/>
      <c r="MR5" s="7"/>
      <c r="MS5" s="7"/>
      <c r="MT5" s="7"/>
      <c r="MU5" s="7"/>
      <c r="MV5" s="7"/>
      <c r="MW5" s="7"/>
      <c r="MX5" s="7"/>
      <c r="MY5" s="7"/>
      <c r="MZ5" s="7"/>
      <c r="NA5" s="7"/>
      <c r="NB5" s="7"/>
      <c r="NC5" s="7"/>
      <c r="ND5" s="7"/>
      <c r="NE5" s="7"/>
      <c r="NF5" s="7"/>
      <c r="NG5" s="7"/>
      <c r="NH5" s="7"/>
      <c r="NI5" s="7"/>
      <c r="NJ5" s="7"/>
      <c r="NK5" s="7"/>
      <c r="NL5" s="7"/>
      <c r="NM5" s="7"/>
      <c r="NN5" s="7"/>
      <c r="NO5" s="7"/>
      <c r="NP5" s="7"/>
      <c r="NQ5" s="7"/>
      <c r="NR5" s="7"/>
      <c r="NS5" s="7"/>
      <c r="NT5" s="7"/>
      <c r="NU5" s="7"/>
      <c r="NV5" s="7"/>
      <c r="NW5" s="7"/>
      <c r="NX5" s="7"/>
      <c r="NY5" s="7"/>
      <c r="NZ5" s="7"/>
      <c r="OA5" s="7"/>
      <c r="OB5" s="7"/>
      <c r="OC5" s="7"/>
      <c r="OD5" s="7"/>
      <c r="OE5" s="7"/>
      <c r="OF5" s="7"/>
      <c r="OG5" s="7"/>
      <c r="OH5" s="7"/>
      <c r="OI5" s="7"/>
      <c r="OJ5" s="7"/>
      <c r="OK5" s="7"/>
      <c r="OL5" s="7"/>
      <c r="OM5" s="7"/>
      <c r="ON5" s="7"/>
      <c r="OO5" s="7"/>
      <c r="OP5" s="7"/>
      <c r="OQ5" s="7"/>
      <c r="OR5" s="7"/>
      <c r="OS5" s="7"/>
      <c r="OT5" s="7"/>
      <c r="OU5" s="7"/>
      <c r="OV5" s="7"/>
      <c r="OW5" s="7"/>
      <c r="OX5" s="7"/>
      <c r="OY5" s="7"/>
      <c r="OZ5" s="7"/>
      <c r="PA5" s="7"/>
      <c r="PB5" s="7"/>
      <c r="PC5" s="7"/>
      <c r="PD5" s="7"/>
      <c r="PE5" s="7"/>
      <c r="PF5" s="7"/>
      <c r="PG5" s="7"/>
      <c r="PH5" s="7"/>
      <c r="PI5" s="7"/>
      <c r="PJ5" s="7"/>
      <c r="PK5" s="7"/>
      <c r="PL5" s="7"/>
      <c r="PM5" s="7"/>
      <c r="PN5" s="7"/>
      <c r="PO5" s="7"/>
      <c r="PP5" s="7"/>
      <c r="PQ5" s="7"/>
      <c r="PR5" s="7"/>
      <c r="PS5" s="7"/>
      <c r="PT5" s="7"/>
      <c r="PU5" s="7"/>
      <c r="PV5" s="7"/>
      <c r="PW5" s="7"/>
      <c r="PX5" s="7"/>
      <c r="PY5" s="7"/>
      <c r="PZ5" s="7"/>
      <c r="QA5" s="7"/>
      <c r="QB5" s="7"/>
      <c r="QC5" s="7"/>
      <c r="QD5" s="7"/>
      <c r="QE5" s="7"/>
      <c r="QF5" s="7"/>
      <c r="QG5" s="7"/>
      <c r="QH5" s="7"/>
      <c r="QI5" s="7"/>
      <c r="QJ5" s="7"/>
      <c r="QK5" s="7"/>
      <c r="QL5" s="7"/>
      <c r="QM5" s="7"/>
      <c r="QN5" s="7"/>
      <c r="QO5" s="7"/>
      <c r="QP5" s="7"/>
      <c r="QQ5" s="7"/>
      <c r="QR5" s="7"/>
      <c r="QS5" s="7"/>
      <c r="QT5" s="7"/>
      <c r="QU5" s="7"/>
      <c r="QV5" s="7"/>
      <c r="QW5" s="7"/>
      <c r="QX5" s="7"/>
      <c r="QY5" s="7"/>
      <c r="QZ5" s="7"/>
      <c r="RA5" s="7"/>
      <c r="RB5" s="7"/>
      <c r="RC5" s="7"/>
      <c r="RD5" s="7"/>
      <c r="RE5" s="7"/>
      <c r="RF5" s="7"/>
      <c r="RG5" s="7"/>
      <c r="RH5" s="7"/>
      <c r="RI5" s="7"/>
      <c r="RJ5" s="7"/>
      <c r="RK5" s="7"/>
      <c r="RL5" s="7"/>
      <c r="RM5" s="7"/>
      <c r="RN5" s="7"/>
      <c r="RO5" s="7"/>
      <c r="RP5" s="7"/>
      <c r="RQ5" s="7"/>
      <c r="RR5" s="7"/>
      <c r="RS5" s="7"/>
      <c r="RT5" s="7"/>
      <c r="RU5" s="7"/>
      <c r="RV5" s="7"/>
      <c r="RW5" s="7"/>
      <c r="RX5" s="7"/>
      <c r="RY5" s="7"/>
      <c r="RZ5" s="7"/>
      <c r="SA5" s="7"/>
      <c r="SB5" s="7"/>
      <c r="SC5" s="7"/>
      <c r="SD5" s="7"/>
      <c r="SE5" s="7"/>
      <c r="SF5" s="7"/>
      <c r="SG5" s="7"/>
      <c r="SH5" s="7"/>
      <c r="SI5" s="7"/>
      <c r="SJ5" s="7"/>
      <c r="SK5" s="7"/>
      <c r="SL5" s="7"/>
      <c r="SM5" s="7"/>
      <c r="SN5" s="7"/>
      <c r="SO5" s="7"/>
      <c r="SP5" s="7"/>
      <c r="SQ5" s="7"/>
      <c r="SR5" s="7"/>
      <c r="SS5" s="7"/>
      <c r="ST5" s="7"/>
      <c r="SU5" s="7"/>
      <c r="SV5" s="7"/>
      <c r="SW5" s="7"/>
      <c r="SX5" s="7"/>
      <c r="SY5" s="7"/>
      <c r="SZ5" s="7"/>
      <c r="TA5" s="7"/>
      <c r="TB5" s="7"/>
      <c r="TC5" s="7"/>
      <c r="TD5" s="7"/>
      <c r="TE5" s="7"/>
      <c r="TF5" s="7"/>
      <c r="TG5" s="7"/>
      <c r="TH5" s="7"/>
      <c r="TI5" s="7"/>
      <c r="TJ5" s="7"/>
      <c r="TK5" s="7"/>
      <c r="TL5" s="7"/>
      <c r="TM5" s="7"/>
      <c r="TN5" s="7"/>
      <c r="TO5" s="7"/>
      <c r="TP5" s="7"/>
      <c r="TQ5" s="7"/>
      <c r="TR5" s="7"/>
      <c r="TS5" s="7"/>
      <c r="TT5" s="7"/>
      <c r="TU5" s="7"/>
      <c r="TV5" s="7"/>
      <c r="TW5" s="7"/>
      <c r="TX5" s="7"/>
      <c r="TY5" s="7"/>
      <c r="TZ5" s="7"/>
      <c r="UA5" s="7"/>
      <c r="UB5" s="7"/>
      <c r="UC5" s="7"/>
      <c r="UD5" s="7"/>
      <c r="UE5" s="7"/>
      <c r="UF5" s="7"/>
      <c r="UG5" s="7"/>
      <c r="UH5" s="7"/>
      <c r="UI5" s="7"/>
      <c r="UJ5" s="7"/>
      <c r="UK5" s="7"/>
      <c r="UL5" s="7"/>
      <c r="UM5" s="7"/>
      <c r="UN5" s="7"/>
      <c r="UO5" s="7"/>
      <c r="UP5" s="7"/>
      <c r="UQ5" s="7"/>
      <c r="UR5" s="7"/>
      <c r="US5" s="7"/>
      <c r="UT5" s="7"/>
      <c r="UU5" s="7"/>
      <c r="UV5" s="7"/>
      <c r="UW5" s="7"/>
      <c r="UX5" s="7"/>
      <c r="UY5" s="7"/>
      <c r="UZ5" s="7"/>
      <c r="VA5" s="7"/>
      <c r="VB5" s="7"/>
      <c r="VC5" s="7"/>
      <c r="VD5" s="7"/>
      <c r="VE5" s="7"/>
      <c r="VF5" s="7"/>
      <c r="VG5" s="7"/>
      <c r="VH5" s="7"/>
      <c r="VI5" s="7"/>
      <c r="VJ5" s="7"/>
      <c r="VK5" s="7"/>
      <c r="VL5" s="7"/>
      <c r="VM5" s="7"/>
      <c r="VN5" s="7"/>
      <c r="VO5" s="7"/>
      <c r="VP5" s="7"/>
      <c r="VQ5" s="7"/>
      <c r="VR5" s="7"/>
      <c r="VS5" s="7"/>
      <c r="VT5" s="7"/>
      <c r="VU5" s="7"/>
      <c r="VV5" s="7"/>
      <c r="VW5" s="7"/>
      <c r="VX5" s="7"/>
      <c r="VY5" s="7"/>
      <c r="VZ5" s="7"/>
      <c r="WA5" s="7"/>
      <c r="WB5" s="7"/>
      <c r="WC5" s="7"/>
      <c r="WD5" s="7"/>
      <c r="WE5" s="7"/>
      <c r="WF5" s="7"/>
      <c r="WG5" s="7"/>
      <c r="WH5" s="7"/>
      <c r="WI5" s="7"/>
      <c r="WJ5" s="7"/>
      <c r="WK5" s="7"/>
      <c r="WL5" s="7"/>
      <c r="WM5" s="7"/>
      <c r="WN5" s="7"/>
      <c r="WO5" s="7"/>
      <c r="WP5" s="7"/>
      <c r="WQ5" s="7"/>
      <c r="WR5" s="7"/>
      <c r="WS5" s="7"/>
      <c r="WT5" s="7"/>
      <c r="WU5" s="7"/>
      <c r="WV5" s="7"/>
      <c r="WW5" s="7"/>
      <c r="WX5" s="7"/>
      <c r="WY5" s="7"/>
      <c r="WZ5" s="7"/>
      <c r="XA5" s="7"/>
      <c r="XB5" s="7"/>
      <c r="XC5" s="7"/>
      <c r="XD5" s="7"/>
      <c r="XE5" s="7"/>
      <c r="XF5" s="7"/>
      <c r="XG5" s="7"/>
      <c r="XH5" s="7"/>
      <c r="XI5" s="7"/>
      <c r="XJ5" s="7"/>
      <c r="XK5" s="7"/>
      <c r="XL5" s="7"/>
      <c r="XM5" s="7"/>
      <c r="XN5" s="7"/>
      <c r="XO5" s="7"/>
      <c r="XP5" s="7"/>
      <c r="XQ5" s="7"/>
      <c r="XR5" s="7"/>
      <c r="XS5" s="7"/>
      <c r="XT5" s="7"/>
      <c r="XU5" s="7"/>
      <c r="XV5" s="7"/>
      <c r="XW5" s="7"/>
      <c r="XX5" s="7"/>
      <c r="XY5" s="7"/>
      <c r="XZ5" s="7"/>
      <c r="YA5" s="7"/>
      <c r="YB5" s="7"/>
      <c r="YC5" s="7"/>
      <c r="YD5" s="7"/>
      <c r="YE5" s="7"/>
      <c r="YF5" s="7"/>
      <c r="YG5" s="7"/>
      <c r="YH5" s="7"/>
      <c r="YI5" s="7"/>
      <c r="YJ5" s="7"/>
      <c r="YK5" s="7"/>
      <c r="YL5" s="7"/>
      <c r="YM5" s="7"/>
      <c r="YN5" s="7"/>
      <c r="YO5" s="7"/>
      <c r="YP5" s="7"/>
      <c r="YQ5" s="7"/>
      <c r="YR5" s="7"/>
      <c r="YS5" s="7"/>
      <c r="YT5" s="7"/>
      <c r="YU5" s="7"/>
      <c r="YV5" s="7"/>
      <c r="YW5" s="7"/>
      <c r="YX5" s="7"/>
      <c r="YY5" s="7"/>
      <c r="YZ5" s="7"/>
      <c r="ZA5" s="7"/>
      <c r="ZB5" s="7"/>
      <c r="ZC5" s="7"/>
      <c r="ZD5" s="7"/>
      <c r="ZE5" s="7"/>
      <c r="ZF5" s="7"/>
      <c r="ZG5" s="7"/>
      <c r="ZH5" s="7"/>
      <c r="ZI5" s="7"/>
      <c r="ZJ5" s="7"/>
      <c r="ZK5" s="7"/>
      <c r="ZL5" s="7"/>
      <c r="ZM5" s="7"/>
      <c r="ZN5" s="7"/>
      <c r="ZO5" s="7"/>
      <c r="ZP5" s="7"/>
      <c r="ZQ5" s="7"/>
      <c r="ZR5" s="7"/>
      <c r="ZS5" s="7"/>
      <c r="ZT5" s="7"/>
      <c r="ZU5" s="7"/>
      <c r="ZV5" s="7"/>
      <c r="ZW5" s="7"/>
      <c r="ZX5" s="7"/>
      <c r="ZY5" s="7"/>
      <c r="ZZ5" s="7"/>
      <c r="AAA5" s="7"/>
      <c r="AAB5" s="7"/>
      <c r="AAC5" s="7"/>
      <c r="AAD5" s="7"/>
      <c r="AAE5" s="7"/>
      <c r="AAF5" s="7"/>
      <c r="AAG5" s="7"/>
      <c r="AAH5" s="7"/>
      <c r="AAI5" s="7"/>
      <c r="AAJ5" s="7"/>
      <c r="AAK5" s="7"/>
      <c r="AAL5" s="7"/>
      <c r="AAM5" s="7"/>
      <c r="AAN5" s="7"/>
      <c r="AAO5" s="7"/>
      <c r="AAP5" s="7"/>
      <c r="AAQ5" s="7"/>
      <c r="AAR5" s="7"/>
      <c r="AAS5" s="7"/>
      <c r="AAT5" s="7"/>
      <c r="AAU5" s="7"/>
      <c r="AAV5" s="7"/>
      <c r="AAW5" s="7"/>
      <c r="AAX5" s="7"/>
      <c r="AAY5" s="7"/>
      <c r="AAZ5" s="7"/>
      <c r="ABA5" s="7"/>
      <c r="ABB5" s="7"/>
      <c r="ABC5" s="7"/>
      <c r="ABD5" s="7"/>
      <c r="ABE5" s="7"/>
      <c r="ABF5" s="7"/>
      <c r="ABG5" s="7"/>
      <c r="ABH5" s="7"/>
      <c r="ABI5" s="7"/>
      <c r="ABJ5" s="7"/>
      <c r="ABK5" s="7"/>
      <c r="ABL5" s="7"/>
      <c r="ABM5" s="7"/>
      <c r="ABN5" s="7"/>
      <c r="ABO5" s="7"/>
      <c r="ABP5" s="7"/>
      <c r="ABQ5" s="7"/>
      <c r="ABR5" s="7"/>
      <c r="ABS5" s="7"/>
      <c r="ABT5" s="7"/>
      <c r="ABU5" s="7"/>
      <c r="ABV5" s="7"/>
      <c r="ABW5" s="7"/>
      <c r="ABX5" s="7"/>
      <c r="ABY5" s="7"/>
      <c r="ABZ5" s="7"/>
      <c r="ACA5" s="7"/>
      <c r="ACB5" s="7"/>
      <c r="ACC5" s="7"/>
      <c r="ACD5" s="7"/>
      <c r="ACE5" s="7"/>
      <c r="ACF5" s="7"/>
      <c r="ACG5" s="7"/>
      <c r="ACH5" s="7"/>
      <c r="ACI5" s="7"/>
      <c r="ACJ5" s="7"/>
      <c r="ACK5" s="7"/>
      <c r="ACL5" s="7"/>
      <c r="ACM5" s="7"/>
      <c r="ACN5" s="7"/>
      <c r="ACO5" s="7"/>
      <c r="ACP5" s="7"/>
      <c r="ACQ5" s="7"/>
      <c r="ACR5" s="7"/>
      <c r="ACS5" s="7"/>
      <c r="ACT5" s="7"/>
      <c r="ACU5" s="7"/>
      <c r="ACV5" s="7"/>
      <c r="ACW5" s="7"/>
      <c r="ACX5" s="7"/>
      <c r="ACY5" s="7"/>
      <c r="ACZ5" s="7"/>
      <c r="ADA5" s="7"/>
      <c r="ADB5" s="7"/>
      <c r="ADC5" s="7"/>
      <c r="ADD5" s="7"/>
      <c r="ADE5" s="7"/>
      <c r="ADF5" s="7"/>
      <c r="ADG5" s="7"/>
      <c r="ADH5" s="7"/>
      <c r="ADI5" s="7"/>
      <c r="ADJ5" s="7"/>
      <c r="ADK5" s="7"/>
      <c r="ADL5" s="7"/>
      <c r="ADM5" s="7"/>
      <c r="ADN5" s="7"/>
      <c r="ADO5" s="7"/>
      <c r="ADP5" s="7"/>
      <c r="ADQ5" s="7"/>
      <c r="ADR5" s="7"/>
      <c r="ADS5" s="7"/>
      <c r="ADT5" s="7"/>
      <c r="ADU5" s="7"/>
      <c r="ADV5" s="7"/>
      <c r="ADW5" s="7"/>
      <c r="ADX5" s="7"/>
      <c r="ADY5" s="7"/>
      <c r="ADZ5" s="7"/>
      <c r="AEA5" s="7"/>
      <c r="AEB5" s="7"/>
      <c r="AEC5" s="7"/>
      <c r="AED5" s="7"/>
      <c r="AEE5" s="7"/>
      <c r="AEF5" s="7"/>
      <c r="AEG5" s="7"/>
      <c r="AEH5" s="7"/>
      <c r="AEI5" s="7"/>
      <c r="AEJ5" s="7"/>
      <c r="AEK5" s="7"/>
      <c r="AEL5" s="7"/>
      <c r="AEM5" s="7"/>
      <c r="AEN5" s="7"/>
      <c r="AEO5" s="7"/>
      <c r="AEP5" s="7"/>
      <c r="AEQ5" s="7"/>
      <c r="AER5" s="7"/>
      <c r="AES5" s="7"/>
      <c r="AET5" s="7"/>
      <c r="AEU5" s="7"/>
      <c r="AEV5" s="7"/>
      <c r="AEW5" s="7"/>
      <c r="AEX5" s="7"/>
      <c r="AEY5" s="7"/>
      <c r="AEZ5" s="7"/>
      <c r="AFA5" s="7"/>
      <c r="AFB5" s="7"/>
      <c r="AFC5" s="7"/>
      <c r="AFD5" s="7"/>
      <c r="AFE5" s="7"/>
      <c r="AFF5" s="7"/>
      <c r="AFG5" s="7"/>
      <c r="AFH5" s="7"/>
      <c r="AFI5" s="7"/>
      <c r="AFJ5" s="7"/>
      <c r="AFK5" s="7"/>
      <c r="AFL5" s="7"/>
      <c r="AFM5" s="7"/>
      <c r="AFN5" s="7"/>
      <c r="AFO5" s="7"/>
      <c r="AFP5" s="7"/>
      <c r="AFQ5" s="7"/>
      <c r="AFR5" s="7"/>
      <c r="AFS5" s="7"/>
      <c r="AFT5" s="7"/>
      <c r="AFU5" s="7"/>
      <c r="AFV5" s="7"/>
      <c r="AFW5" s="7"/>
      <c r="AFX5" s="7"/>
      <c r="AFY5" s="7"/>
      <c r="AFZ5" s="7"/>
      <c r="AGA5" s="7"/>
      <c r="AGB5" s="7"/>
      <c r="AGC5" s="7"/>
      <c r="AGD5" s="7"/>
      <c r="AGE5" s="7"/>
      <c r="AGF5" s="7"/>
      <c r="AGG5" s="7"/>
      <c r="AGH5" s="7"/>
      <c r="AGI5" s="7"/>
      <c r="AGJ5" s="7"/>
      <c r="AGK5" s="7"/>
      <c r="AGL5" s="7"/>
      <c r="AGM5" s="7"/>
      <c r="AGN5" s="7"/>
      <c r="AGO5" s="7"/>
      <c r="AGP5" s="7"/>
      <c r="AGQ5" s="7"/>
      <c r="AGR5" s="7"/>
      <c r="AGS5" s="7"/>
      <c r="AGT5" s="7"/>
      <c r="AGU5" s="7"/>
      <c r="AGV5" s="7"/>
      <c r="AGW5" s="7"/>
      <c r="AGX5" s="7"/>
      <c r="AGY5" s="7"/>
      <c r="AGZ5" s="7"/>
      <c r="AHA5" s="7"/>
      <c r="AHB5" s="7"/>
      <c r="AHC5" s="7"/>
      <c r="AHD5" s="7"/>
      <c r="AHE5" s="7"/>
      <c r="AHF5" s="7"/>
      <c r="AHG5" s="7"/>
      <c r="AHH5" s="7"/>
      <c r="AHI5" s="7"/>
      <c r="AHJ5" s="7"/>
      <c r="AHK5" s="7"/>
      <c r="AHL5" s="7"/>
      <c r="AHM5" s="7"/>
      <c r="AHN5" s="7"/>
      <c r="AHO5" s="7"/>
      <c r="AHP5" s="7"/>
      <c r="AHQ5" s="7"/>
      <c r="AHR5" s="7"/>
      <c r="AHS5" s="7"/>
      <c r="AHT5" s="7"/>
      <c r="AHU5" s="7"/>
      <c r="AHV5" s="7"/>
      <c r="AHW5" s="7"/>
      <c r="AHX5" s="7"/>
      <c r="AHY5" s="7"/>
      <c r="AHZ5" s="7"/>
      <c r="AIA5" s="7"/>
      <c r="AIB5" s="7"/>
      <c r="AIC5" s="7"/>
      <c r="AID5" s="7"/>
      <c r="AIE5" s="7"/>
      <c r="AIF5" s="7"/>
      <c r="AIG5" s="7"/>
      <c r="AIH5" s="7"/>
      <c r="AII5" s="7"/>
      <c r="AIJ5" s="7"/>
      <c r="AIK5" s="7"/>
      <c r="AIL5" s="7"/>
      <c r="AIM5" s="7"/>
      <c r="AIN5" s="7"/>
      <c r="AIO5" s="7"/>
      <c r="AIP5" s="7"/>
      <c r="AIQ5" s="7"/>
      <c r="AIR5" s="7"/>
      <c r="AIS5" s="7"/>
      <c r="AIT5" s="7"/>
      <c r="AIU5" s="7"/>
      <c r="AIV5" s="7"/>
      <c r="AIW5" s="7"/>
      <c r="AIX5" s="7"/>
      <c r="AIY5" s="7"/>
      <c r="AIZ5" s="7"/>
      <c r="AJA5" s="7"/>
      <c r="AJB5" s="7"/>
      <c r="AJC5" s="7"/>
      <c r="AJD5" s="7"/>
      <c r="AJE5" s="7"/>
      <c r="AJF5" s="7"/>
      <c r="AJG5" s="7"/>
      <c r="AJH5" s="7"/>
      <c r="AJI5" s="7"/>
      <c r="AJJ5" s="7"/>
      <c r="AJK5" s="7"/>
      <c r="AJL5" s="7"/>
      <c r="AJM5" s="7"/>
      <c r="AJN5" s="7"/>
      <c r="AJO5" s="7"/>
      <c r="AJP5" s="7"/>
      <c r="AJQ5" s="7"/>
      <c r="AJR5" s="7"/>
      <c r="AJS5" s="7"/>
      <c r="AJT5" s="7"/>
      <c r="AJU5" s="7"/>
      <c r="AJV5" s="7"/>
      <c r="AJW5" s="7"/>
      <c r="AJX5" s="7"/>
      <c r="AJY5" s="7"/>
      <c r="AJZ5" s="7"/>
      <c r="AKA5" s="7"/>
      <c r="AKB5" s="7"/>
      <c r="AKC5" s="7"/>
      <c r="AKD5" s="7"/>
      <c r="AKE5" s="7"/>
      <c r="AKF5" s="7"/>
      <c r="AKG5" s="7"/>
      <c r="AKH5" s="7"/>
      <c r="AKI5" s="7"/>
      <c r="AKJ5" s="7"/>
      <c r="AKK5" s="7"/>
      <c r="AKL5" s="7"/>
      <c r="AKM5" s="7"/>
      <c r="AKN5" s="7"/>
      <c r="AKO5" s="7"/>
      <c r="AKP5" s="7"/>
      <c r="AKQ5" s="7"/>
      <c r="AKR5" s="7"/>
      <c r="AKS5" s="7"/>
      <c r="AKT5" s="7"/>
      <c r="AKU5" s="7"/>
      <c r="AKV5" s="7"/>
      <c r="AKW5" s="7"/>
      <c r="AKX5" s="7"/>
      <c r="AKY5" s="7"/>
      <c r="AKZ5" s="7"/>
      <c r="ALA5" s="7"/>
      <c r="ALB5" s="7"/>
      <c r="ALC5" s="7"/>
      <c r="ALD5" s="7"/>
      <c r="ALE5" s="7"/>
      <c r="ALF5" s="7"/>
      <c r="ALG5" s="7"/>
      <c r="ALH5" s="7"/>
      <c r="ALI5" s="7"/>
      <c r="ALJ5" s="7"/>
      <c r="ALK5" s="7"/>
      <c r="ALL5" s="7"/>
      <c r="ALM5" s="7"/>
      <c r="ALN5" s="7"/>
      <c r="ALO5" s="7"/>
      <c r="ALP5" s="7"/>
      <c r="ALQ5" s="7"/>
      <c r="ALR5" s="7"/>
      <c r="ALS5" s="7"/>
      <c r="ALT5" s="7"/>
      <c r="ALU5" s="7"/>
      <c r="ALV5" s="7"/>
      <c r="ALW5" s="7"/>
      <c r="ALX5" s="7"/>
      <c r="ALY5" s="7"/>
      <c r="ALZ5" s="7"/>
      <c r="AMA5" s="7"/>
      <c r="AMB5" s="7"/>
      <c r="AMC5" s="7"/>
      <c r="AMD5" s="7"/>
      <c r="AME5" s="7"/>
      <c r="AMF5" s="7"/>
      <c r="AMG5" s="7"/>
      <c r="AMH5" s="7"/>
      <c r="AMI5" s="7"/>
      <c r="AMJ5" s="7"/>
      <c r="AMK5" s="7"/>
      <c r="AML5" s="7"/>
      <c r="AMM5" s="7"/>
      <c r="AMN5" s="7"/>
      <c r="AMO5" s="7"/>
      <c r="AMP5" s="7"/>
      <c r="AMQ5" s="7"/>
      <c r="AMR5" s="7"/>
    </row>
    <row r="6" spans="1:1032" ht="25.5" x14ac:dyDescent="0.2">
      <c r="A6" s="10" t="s">
        <v>321</v>
      </c>
      <c r="B6" s="10" t="s">
        <v>312</v>
      </c>
      <c r="C6" s="10" t="s">
        <v>315</v>
      </c>
      <c r="D6" s="10" t="s">
        <v>321</v>
      </c>
      <c r="F6" s="10" t="s">
        <v>163</v>
      </c>
      <c r="G6" s="10" t="s">
        <v>322</v>
      </c>
      <c r="H6" s="10" t="s">
        <v>314</v>
      </c>
      <c r="J6" s="7">
        <v>60</v>
      </c>
      <c r="K6" s="10" t="s">
        <v>315</v>
      </c>
      <c r="Q6" s="10" t="s">
        <v>323</v>
      </c>
    </row>
    <row r="7" spans="1:1032" ht="38.25" x14ac:dyDescent="0.2">
      <c r="A7" s="10" t="s">
        <v>324</v>
      </c>
      <c r="B7" s="10" t="s">
        <v>312</v>
      </c>
      <c r="C7" s="10" t="s">
        <v>315</v>
      </c>
      <c r="D7" s="10" t="s">
        <v>321</v>
      </c>
      <c r="E7" s="10" t="s">
        <v>325</v>
      </c>
      <c r="F7" s="10" t="s">
        <v>232</v>
      </c>
      <c r="G7" s="10" t="s">
        <v>326</v>
      </c>
      <c r="H7" s="10" t="s">
        <v>327</v>
      </c>
      <c r="K7" s="10" t="s">
        <v>315</v>
      </c>
      <c r="Q7" s="10" t="s">
        <v>328</v>
      </c>
    </row>
    <row r="8" spans="1:1032" ht="63.75" x14ac:dyDescent="0.2">
      <c r="A8" s="10" t="s">
        <v>329</v>
      </c>
      <c r="B8" s="10" t="s">
        <v>312</v>
      </c>
      <c r="C8" s="10" t="s">
        <v>315</v>
      </c>
      <c r="D8" s="10" t="s">
        <v>321</v>
      </c>
      <c r="E8" s="10" t="s">
        <v>330</v>
      </c>
      <c r="F8" s="10" t="s">
        <v>232</v>
      </c>
      <c r="G8" s="10" t="s">
        <v>331</v>
      </c>
      <c r="H8" s="10" t="s">
        <v>314</v>
      </c>
      <c r="J8" s="7">
        <v>84</v>
      </c>
      <c r="K8" s="10" t="s">
        <v>315</v>
      </c>
      <c r="Q8" s="10" t="s">
        <v>332</v>
      </c>
    </row>
    <row r="9" spans="1:1032" ht="25.5" x14ac:dyDescent="0.2">
      <c r="A9" s="10" t="s">
        <v>333</v>
      </c>
      <c r="B9" s="10" t="s">
        <v>312</v>
      </c>
      <c r="C9" s="10" t="s">
        <v>315</v>
      </c>
      <c r="D9" s="10" t="s">
        <v>333</v>
      </c>
      <c r="F9" s="10" t="s">
        <v>163</v>
      </c>
      <c r="G9" s="10" t="s">
        <v>322</v>
      </c>
      <c r="H9" s="10" t="s">
        <v>314</v>
      </c>
      <c r="J9" s="7">
        <v>60</v>
      </c>
      <c r="K9" s="10" t="s">
        <v>315</v>
      </c>
      <c r="Q9" s="10" t="s">
        <v>323</v>
      </c>
    </row>
    <row r="10" spans="1:1032" ht="63.75" x14ac:dyDescent="0.2">
      <c r="A10" s="10" t="s">
        <v>334</v>
      </c>
      <c r="B10" s="10" t="s">
        <v>312</v>
      </c>
      <c r="C10" s="10" t="s">
        <v>315</v>
      </c>
      <c r="D10" s="10" t="s">
        <v>333</v>
      </c>
      <c r="E10" s="10" t="s">
        <v>330</v>
      </c>
      <c r="F10" s="10" t="s">
        <v>232</v>
      </c>
      <c r="G10" s="10" t="s">
        <v>331</v>
      </c>
      <c r="H10" s="10" t="s">
        <v>314</v>
      </c>
      <c r="J10" s="7">
        <v>84</v>
      </c>
      <c r="K10" s="10" t="s">
        <v>315</v>
      </c>
      <c r="Q10" s="10" t="s">
        <v>332</v>
      </c>
    </row>
    <row r="11" spans="1:1032" ht="25.5" x14ac:dyDescent="0.2">
      <c r="A11" s="10" t="s">
        <v>335</v>
      </c>
      <c r="B11" s="10" t="s">
        <v>336</v>
      </c>
      <c r="C11" s="10" t="s">
        <v>315</v>
      </c>
      <c r="D11" s="10" t="s">
        <v>315</v>
      </c>
      <c r="G11" s="10" t="s">
        <v>337</v>
      </c>
      <c r="H11" s="10" t="s">
        <v>327</v>
      </c>
      <c r="K11" s="10" t="s">
        <v>315</v>
      </c>
    </row>
    <row r="12" spans="1:1032" ht="25.5" x14ac:dyDescent="0.2">
      <c r="A12" s="10" t="s">
        <v>338</v>
      </c>
      <c r="B12" s="10" t="s">
        <v>336</v>
      </c>
      <c r="C12" s="10" t="s">
        <v>315</v>
      </c>
      <c r="D12" s="10" t="s">
        <v>315</v>
      </c>
      <c r="G12" s="10" t="s">
        <v>337</v>
      </c>
      <c r="H12" s="10" t="s">
        <v>314</v>
      </c>
      <c r="J12" s="7">
        <v>36</v>
      </c>
      <c r="K12" s="10" t="s">
        <v>315</v>
      </c>
    </row>
    <row r="13" spans="1:1032" x14ac:dyDescent="0.2">
      <c r="A13" s="10" t="s">
        <v>311</v>
      </c>
      <c r="B13" s="10" t="s">
        <v>336</v>
      </c>
      <c r="C13" s="10" t="s">
        <v>311</v>
      </c>
      <c r="D13" s="10" t="s">
        <v>311</v>
      </c>
      <c r="G13" s="10" t="s">
        <v>339</v>
      </c>
      <c r="H13" s="10" t="s">
        <v>314</v>
      </c>
      <c r="J13" s="7">
        <v>12</v>
      </c>
      <c r="K13" s="10" t="s">
        <v>315</v>
      </c>
    </row>
  </sheetData>
  <pageMargins left="0" right="0" top="0.39370078740157483" bottom="0.39370078740157483" header="0" footer="0"/>
  <headerFooter>
    <oddHeader>&amp;C&amp;A</oddHeader>
    <oddFooter>&amp;CPagina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49232-89B4-48A0-AB31-1162D45DDF0E}">
  <dimension ref="A1:A2"/>
  <sheetViews>
    <sheetView workbookViewId="0">
      <pane xSplit="1" ySplit="2" topLeftCell="B3" activePane="bottomRight" state="frozen"/>
      <selection pane="topRight"/>
      <selection pane="bottomLeft"/>
      <selection pane="bottomRight"/>
    </sheetView>
  </sheetViews>
  <sheetFormatPr defaultColWidth="8.75" defaultRowHeight="12.75" x14ac:dyDescent="0.2"/>
  <cols>
    <col min="1" max="1" width="19.375" style="17" customWidth="1"/>
    <col min="2" max="16384" width="8.75" style="17"/>
  </cols>
  <sheetData>
    <row r="1" spans="1:1" s="18" customFormat="1" x14ac:dyDescent="0.2">
      <c r="A1" s="16" t="str">
        <f>CONCATENATE("Deelzaaktypen van zaaktype ",Zaaktype!B2,": ",Zaaktype!B3)</f>
        <v>Deelzaaktypen van zaaktype 14: Voorlopige voorziening behandelen</v>
      </c>
    </row>
    <row r="2" spans="1:1" s="19" customFormat="1" x14ac:dyDescent="0.2">
      <c r="A2" s="19" t="s">
        <v>340</v>
      </c>
    </row>
  </sheetData>
  <pageMargins left="0" right="0" top="0.39370078740157483" bottom="0.39370078740157483" header="0" footer="0"/>
  <headerFooter>
    <oddHeader>&amp;C&amp;A</oddHeader>
    <oddFooter>&amp;CPagina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10"/>
  <dimension ref="A1:AMJ11"/>
  <sheetViews>
    <sheetView workbookViewId="0">
      <pane xSplit="1" ySplit="2" topLeftCell="B3" activePane="bottomRight" state="frozen"/>
      <selection pane="topRight"/>
      <selection pane="bottomLeft"/>
      <selection pane="bottomRight"/>
    </sheetView>
  </sheetViews>
  <sheetFormatPr defaultColWidth="8.75" defaultRowHeight="12.75" x14ac:dyDescent="0.2"/>
  <cols>
    <col min="1" max="1" width="44.375" style="1" customWidth="1"/>
    <col min="2" max="2" width="19" style="1" customWidth="1"/>
    <col min="3" max="1024" width="65.875" style="1" customWidth="1"/>
    <col min="1025" max="16384" width="8.75" style="17"/>
  </cols>
  <sheetData>
    <row r="1" spans="1:1024" s="16" customFormat="1" x14ac:dyDescent="0.2">
      <c r="A1" s="15" t="str">
        <f>CONCATENATE("Gerelateerde zaaktypen van zaaktype ",Zaaktype!B2,": ",Zaaktype!B3)</f>
        <v>Gerelateerde zaaktypen van zaaktype 14: Voorlopige voorziening behandelen</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c r="CO1" s="15"/>
      <c r="CP1" s="15"/>
      <c r="CQ1" s="15"/>
      <c r="CR1" s="15"/>
      <c r="CS1" s="15"/>
      <c r="CT1" s="15"/>
      <c r="CU1" s="15"/>
      <c r="CV1" s="15"/>
      <c r="CW1" s="15"/>
      <c r="CX1" s="15"/>
      <c r="CY1" s="15"/>
      <c r="CZ1" s="15"/>
      <c r="DA1" s="15"/>
      <c r="DB1" s="15"/>
      <c r="DC1" s="15"/>
      <c r="DD1" s="15"/>
      <c r="DE1" s="15"/>
      <c r="DF1" s="15"/>
      <c r="DG1" s="15"/>
      <c r="DH1" s="15"/>
      <c r="DI1" s="15"/>
      <c r="DJ1" s="15"/>
      <c r="DK1" s="15"/>
      <c r="DL1" s="15"/>
      <c r="DM1" s="15"/>
      <c r="DN1" s="15"/>
      <c r="DO1" s="15"/>
      <c r="DP1" s="15"/>
      <c r="DQ1" s="15"/>
      <c r="DR1" s="15"/>
      <c r="DS1" s="15"/>
      <c r="DT1" s="15"/>
      <c r="DU1" s="15"/>
      <c r="DV1" s="15"/>
      <c r="DW1" s="15"/>
      <c r="DX1" s="15"/>
      <c r="DY1" s="15"/>
      <c r="DZ1" s="15"/>
      <c r="EA1" s="15"/>
      <c r="EB1" s="15"/>
      <c r="EC1" s="15"/>
      <c r="ED1" s="15"/>
      <c r="EE1" s="15"/>
      <c r="EF1" s="15"/>
      <c r="EG1" s="15"/>
      <c r="EH1" s="15"/>
      <c r="EI1" s="15"/>
      <c r="EJ1" s="15"/>
      <c r="EK1" s="15"/>
      <c r="EL1" s="15"/>
      <c r="EM1" s="15"/>
      <c r="EN1" s="15"/>
      <c r="EO1" s="15"/>
      <c r="EP1" s="15"/>
      <c r="EQ1" s="15"/>
      <c r="ER1" s="15"/>
      <c r="ES1" s="15"/>
      <c r="ET1" s="15"/>
      <c r="EU1" s="15"/>
      <c r="EV1" s="15"/>
      <c r="EW1" s="15"/>
      <c r="EX1" s="15"/>
      <c r="EY1" s="15"/>
      <c r="EZ1" s="15"/>
      <c r="FA1" s="15"/>
      <c r="FB1" s="15"/>
      <c r="FC1" s="15"/>
      <c r="FD1" s="15"/>
      <c r="FE1" s="15"/>
      <c r="FF1" s="15"/>
      <c r="FG1" s="15"/>
      <c r="FH1" s="15"/>
      <c r="FI1" s="15"/>
      <c r="FJ1" s="15"/>
      <c r="FK1" s="15"/>
      <c r="FL1" s="15"/>
      <c r="FM1" s="15"/>
      <c r="FN1" s="15"/>
      <c r="FO1" s="15"/>
      <c r="FP1" s="15"/>
      <c r="FQ1" s="15"/>
      <c r="FR1" s="15"/>
      <c r="FS1" s="15"/>
      <c r="FT1" s="15"/>
      <c r="FU1" s="15"/>
      <c r="FV1" s="15"/>
      <c r="FW1" s="15"/>
      <c r="FX1" s="15"/>
      <c r="FY1" s="15"/>
      <c r="FZ1" s="15"/>
      <c r="GA1" s="15"/>
      <c r="GB1" s="15"/>
      <c r="GC1" s="15"/>
      <c r="GD1" s="15"/>
      <c r="GE1" s="15"/>
      <c r="GF1" s="15"/>
      <c r="GG1" s="15"/>
      <c r="GH1" s="15"/>
      <c r="GI1" s="15"/>
      <c r="GJ1" s="15"/>
      <c r="GK1" s="15"/>
      <c r="GL1" s="15"/>
      <c r="GM1" s="15"/>
      <c r="GN1" s="15"/>
      <c r="GO1" s="15"/>
      <c r="GP1" s="15"/>
      <c r="GQ1" s="15"/>
      <c r="GR1" s="15"/>
      <c r="GS1" s="15"/>
      <c r="GT1" s="15"/>
      <c r="GU1" s="15"/>
      <c r="GV1" s="15"/>
      <c r="GW1" s="15"/>
      <c r="GX1" s="15"/>
      <c r="GY1" s="15"/>
      <c r="GZ1" s="15"/>
      <c r="HA1" s="15"/>
      <c r="HB1" s="15"/>
      <c r="HC1" s="15"/>
      <c r="HD1" s="15"/>
      <c r="HE1" s="15"/>
      <c r="HF1" s="15"/>
      <c r="HG1" s="15"/>
      <c r="HH1" s="15"/>
      <c r="HI1" s="15"/>
      <c r="HJ1" s="15"/>
      <c r="HK1" s="15"/>
      <c r="HL1" s="15"/>
      <c r="HM1" s="15"/>
      <c r="HN1" s="15"/>
      <c r="HO1" s="15"/>
      <c r="HP1" s="15"/>
      <c r="HQ1" s="15"/>
      <c r="HR1" s="15"/>
      <c r="HS1" s="15"/>
      <c r="HT1" s="15"/>
      <c r="HU1" s="15"/>
      <c r="HV1" s="15"/>
      <c r="HW1" s="15"/>
      <c r="HX1" s="15"/>
      <c r="HY1" s="15"/>
      <c r="HZ1" s="15"/>
      <c r="IA1" s="15"/>
      <c r="IB1" s="15"/>
      <c r="IC1" s="15"/>
      <c r="ID1" s="15"/>
      <c r="IE1" s="15"/>
      <c r="IF1" s="15"/>
      <c r="IG1" s="15"/>
      <c r="IH1" s="15"/>
      <c r="II1" s="15"/>
      <c r="IJ1" s="15"/>
      <c r="IK1" s="15"/>
      <c r="IL1" s="15"/>
      <c r="IM1" s="15"/>
      <c r="IN1" s="15"/>
      <c r="IO1" s="15"/>
      <c r="IP1" s="15"/>
      <c r="IQ1" s="15"/>
      <c r="IR1" s="15"/>
      <c r="IS1" s="15"/>
      <c r="IT1" s="15"/>
      <c r="IU1" s="15"/>
      <c r="IV1" s="15"/>
      <c r="IW1" s="15"/>
      <c r="IX1" s="15"/>
      <c r="IY1" s="15"/>
      <c r="IZ1" s="15"/>
      <c r="JA1" s="15"/>
      <c r="JB1" s="15"/>
      <c r="JC1" s="15"/>
      <c r="JD1" s="15"/>
      <c r="JE1" s="15"/>
      <c r="JF1" s="15"/>
      <c r="JG1" s="15"/>
      <c r="JH1" s="15"/>
      <c r="JI1" s="15"/>
      <c r="JJ1" s="15"/>
      <c r="JK1" s="15"/>
      <c r="JL1" s="15"/>
      <c r="JM1" s="15"/>
      <c r="JN1" s="15"/>
      <c r="JO1" s="15"/>
      <c r="JP1" s="15"/>
      <c r="JQ1" s="15"/>
      <c r="JR1" s="15"/>
      <c r="JS1" s="15"/>
      <c r="JT1" s="15"/>
      <c r="JU1" s="15"/>
      <c r="JV1" s="15"/>
      <c r="JW1" s="15"/>
      <c r="JX1" s="15"/>
      <c r="JY1" s="15"/>
      <c r="JZ1" s="15"/>
      <c r="KA1" s="15"/>
      <c r="KB1" s="15"/>
      <c r="KC1" s="15"/>
      <c r="KD1" s="15"/>
      <c r="KE1" s="15"/>
      <c r="KF1" s="15"/>
      <c r="KG1" s="15"/>
      <c r="KH1" s="15"/>
      <c r="KI1" s="15"/>
      <c r="KJ1" s="15"/>
      <c r="KK1" s="15"/>
      <c r="KL1" s="15"/>
      <c r="KM1" s="15"/>
      <c r="KN1" s="15"/>
      <c r="KO1" s="15"/>
      <c r="KP1" s="15"/>
      <c r="KQ1" s="15"/>
      <c r="KR1" s="15"/>
      <c r="KS1" s="15"/>
      <c r="KT1" s="15"/>
      <c r="KU1" s="15"/>
      <c r="KV1" s="15"/>
      <c r="KW1" s="15"/>
      <c r="KX1" s="15"/>
      <c r="KY1" s="15"/>
      <c r="KZ1" s="15"/>
      <c r="LA1" s="15"/>
      <c r="LB1" s="15"/>
      <c r="LC1" s="15"/>
      <c r="LD1" s="15"/>
      <c r="LE1" s="15"/>
      <c r="LF1" s="15"/>
      <c r="LG1" s="15"/>
      <c r="LH1" s="15"/>
      <c r="LI1" s="15"/>
      <c r="LJ1" s="15"/>
      <c r="LK1" s="15"/>
      <c r="LL1" s="15"/>
      <c r="LM1" s="15"/>
      <c r="LN1" s="15"/>
      <c r="LO1" s="15"/>
      <c r="LP1" s="15"/>
      <c r="LQ1" s="15"/>
      <c r="LR1" s="15"/>
      <c r="LS1" s="15"/>
      <c r="LT1" s="15"/>
      <c r="LU1" s="15"/>
      <c r="LV1" s="15"/>
      <c r="LW1" s="15"/>
      <c r="LX1" s="15"/>
      <c r="LY1" s="15"/>
      <c r="LZ1" s="15"/>
      <c r="MA1" s="15"/>
      <c r="MB1" s="15"/>
      <c r="MC1" s="15"/>
      <c r="MD1" s="15"/>
      <c r="ME1" s="15"/>
      <c r="MF1" s="15"/>
      <c r="MG1" s="15"/>
      <c r="MH1" s="15"/>
      <c r="MI1" s="15"/>
      <c r="MJ1" s="15"/>
      <c r="MK1" s="15"/>
      <c r="ML1" s="15"/>
      <c r="MM1" s="15"/>
      <c r="MN1" s="15"/>
      <c r="MO1" s="15"/>
      <c r="MP1" s="15"/>
      <c r="MQ1" s="15"/>
      <c r="MR1" s="15"/>
      <c r="MS1" s="15"/>
      <c r="MT1" s="15"/>
      <c r="MU1" s="15"/>
      <c r="MV1" s="15"/>
      <c r="MW1" s="15"/>
      <c r="MX1" s="15"/>
      <c r="MY1" s="15"/>
      <c r="MZ1" s="15"/>
      <c r="NA1" s="15"/>
      <c r="NB1" s="15"/>
      <c r="NC1" s="15"/>
      <c r="ND1" s="15"/>
      <c r="NE1" s="15"/>
      <c r="NF1" s="15"/>
      <c r="NG1" s="15"/>
      <c r="NH1" s="15"/>
      <c r="NI1" s="15"/>
      <c r="NJ1" s="15"/>
      <c r="NK1" s="15"/>
      <c r="NL1" s="15"/>
      <c r="NM1" s="15"/>
      <c r="NN1" s="15"/>
      <c r="NO1" s="15"/>
      <c r="NP1" s="15"/>
      <c r="NQ1" s="15"/>
      <c r="NR1" s="15"/>
      <c r="NS1" s="15"/>
      <c r="NT1" s="15"/>
      <c r="NU1" s="15"/>
      <c r="NV1" s="15"/>
      <c r="NW1" s="15"/>
      <c r="NX1" s="15"/>
      <c r="NY1" s="15"/>
      <c r="NZ1" s="15"/>
      <c r="OA1" s="15"/>
      <c r="OB1" s="15"/>
      <c r="OC1" s="15"/>
      <c r="OD1" s="15"/>
      <c r="OE1" s="15"/>
      <c r="OF1" s="15"/>
      <c r="OG1" s="15"/>
      <c r="OH1" s="15"/>
      <c r="OI1" s="15"/>
      <c r="OJ1" s="15"/>
      <c r="OK1" s="15"/>
      <c r="OL1" s="15"/>
      <c r="OM1" s="15"/>
      <c r="ON1" s="15"/>
      <c r="OO1" s="15"/>
      <c r="OP1" s="15"/>
      <c r="OQ1" s="15"/>
      <c r="OR1" s="15"/>
      <c r="OS1" s="15"/>
      <c r="OT1" s="15"/>
      <c r="OU1" s="15"/>
      <c r="OV1" s="15"/>
      <c r="OW1" s="15"/>
      <c r="OX1" s="15"/>
      <c r="OY1" s="15"/>
      <c r="OZ1" s="15"/>
      <c r="PA1" s="15"/>
      <c r="PB1" s="15"/>
      <c r="PC1" s="15"/>
      <c r="PD1" s="15"/>
      <c r="PE1" s="15"/>
      <c r="PF1" s="15"/>
      <c r="PG1" s="15"/>
      <c r="PH1" s="15"/>
      <c r="PI1" s="15"/>
      <c r="PJ1" s="15"/>
      <c r="PK1" s="15"/>
      <c r="PL1" s="15"/>
      <c r="PM1" s="15"/>
      <c r="PN1" s="15"/>
      <c r="PO1" s="15"/>
      <c r="PP1" s="15"/>
      <c r="PQ1" s="15"/>
      <c r="PR1" s="15"/>
      <c r="PS1" s="15"/>
      <c r="PT1" s="15"/>
      <c r="PU1" s="15"/>
      <c r="PV1" s="15"/>
      <c r="PW1" s="15"/>
      <c r="PX1" s="15"/>
      <c r="PY1" s="15"/>
      <c r="PZ1" s="15"/>
      <c r="QA1" s="15"/>
      <c r="QB1" s="15"/>
      <c r="QC1" s="15"/>
      <c r="QD1" s="15"/>
      <c r="QE1" s="15"/>
      <c r="QF1" s="15"/>
      <c r="QG1" s="15"/>
      <c r="QH1" s="15"/>
      <c r="QI1" s="15"/>
      <c r="QJ1" s="15"/>
      <c r="QK1" s="15"/>
      <c r="QL1" s="15"/>
      <c r="QM1" s="15"/>
      <c r="QN1" s="15"/>
      <c r="QO1" s="15"/>
      <c r="QP1" s="15"/>
      <c r="QQ1" s="15"/>
      <c r="QR1" s="15"/>
      <c r="QS1" s="15"/>
      <c r="QT1" s="15"/>
      <c r="QU1" s="15"/>
      <c r="QV1" s="15"/>
      <c r="QW1" s="15"/>
      <c r="QX1" s="15"/>
      <c r="QY1" s="15"/>
      <c r="QZ1" s="15"/>
      <c r="RA1" s="15"/>
      <c r="RB1" s="15"/>
      <c r="RC1" s="15"/>
      <c r="RD1" s="15"/>
      <c r="RE1" s="15"/>
      <c r="RF1" s="15"/>
      <c r="RG1" s="15"/>
      <c r="RH1" s="15"/>
      <c r="RI1" s="15"/>
      <c r="RJ1" s="15"/>
      <c r="RK1" s="15"/>
      <c r="RL1" s="15"/>
      <c r="RM1" s="15"/>
      <c r="RN1" s="15"/>
      <c r="RO1" s="15"/>
      <c r="RP1" s="15"/>
      <c r="RQ1" s="15"/>
      <c r="RR1" s="15"/>
      <c r="RS1" s="15"/>
      <c r="RT1" s="15"/>
      <c r="RU1" s="15"/>
      <c r="RV1" s="15"/>
      <c r="RW1" s="15"/>
      <c r="RX1" s="15"/>
      <c r="RY1" s="15"/>
      <c r="RZ1" s="15"/>
      <c r="SA1" s="15"/>
      <c r="SB1" s="15"/>
      <c r="SC1" s="15"/>
      <c r="SD1" s="15"/>
      <c r="SE1" s="15"/>
      <c r="SF1" s="15"/>
      <c r="SG1" s="15"/>
      <c r="SH1" s="15"/>
      <c r="SI1" s="15"/>
      <c r="SJ1" s="15"/>
      <c r="SK1" s="15"/>
      <c r="SL1" s="15"/>
      <c r="SM1" s="15"/>
      <c r="SN1" s="15"/>
      <c r="SO1" s="15"/>
      <c r="SP1" s="15"/>
      <c r="SQ1" s="15"/>
      <c r="SR1" s="15"/>
      <c r="SS1" s="15"/>
      <c r="ST1" s="15"/>
      <c r="SU1" s="15"/>
      <c r="SV1" s="15"/>
      <c r="SW1" s="15"/>
      <c r="SX1" s="15"/>
      <c r="SY1" s="15"/>
      <c r="SZ1" s="15"/>
      <c r="TA1" s="15"/>
      <c r="TB1" s="15"/>
      <c r="TC1" s="15"/>
      <c r="TD1" s="15"/>
      <c r="TE1" s="15"/>
      <c r="TF1" s="15"/>
      <c r="TG1" s="15"/>
      <c r="TH1" s="15"/>
      <c r="TI1" s="15"/>
      <c r="TJ1" s="15"/>
      <c r="TK1" s="15"/>
      <c r="TL1" s="15"/>
      <c r="TM1" s="15"/>
      <c r="TN1" s="15"/>
      <c r="TO1" s="15"/>
      <c r="TP1" s="15"/>
      <c r="TQ1" s="15"/>
      <c r="TR1" s="15"/>
      <c r="TS1" s="15"/>
      <c r="TT1" s="15"/>
      <c r="TU1" s="15"/>
      <c r="TV1" s="15"/>
      <c r="TW1" s="15"/>
      <c r="TX1" s="15"/>
      <c r="TY1" s="15"/>
      <c r="TZ1" s="15"/>
      <c r="UA1" s="15"/>
      <c r="UB1" s="15"/>
      <c r="UC1" s="15"/>
      <c r="UD1" s="15"/>
      <c r="UE1" s="15"/>
      <c r="UF1" s="15"/>
      <c r="UG1" s="15"/>
      <c r="UH1" s="15"/>
      <c r="UI1" s="15"/>
      <c r="UJ1" s="15"/>
      <c r="UK1" s="15"/>
      <c r="UL1" s="15"/>
      <c r="UM1" s="15"/>
      <c r="UN1" s="15"/>
      <c r="UO1" s="15"/>
      <c r="UP1" s="15"/>
      <c r="UQ1" s="15"/>
      <c r="UR1" s="15"/>
      <c r="US1" s="15"/>
      <c r="UT1" s="15"/>
      <c r="UU1" s="15"/>
      <c r="UV1" s="15"/>
      <c r="UW1" s="15"/>
      <c r="UX1" s="15"/>
      <c r="UY1" s="15"/>
      <c r="UZ1" s="15"/>
      <c r="VA1" s="15"/>
      <c r="VB1" s="15"/>
      <c r="VC1" s="15"/>
      <c r="VD1" s="15"/>
      <c r="VE1" s="15"/>
      <c r="VF1" s="15"/>
      <c r="VG1" s="15"/>
      <c r="VH1" s="15"/>
      <c r="VI1" s="15"/>
      <c r="VJ1" s="15"/>
      <c r="VK1" s="15"/>
      <c r="VL1" s="15"/>
      <c r="VM1" s="15"/>
      <c r="VN1" s="15"/>
      <c r="VO1" s="15"/>
      <c r="VP1" s="15"/>
      <c r="VQ1" s="15"/>
      <c r="VR1" s="15"/>
      <c r="VS1" s="15"/>
      <c r="VT1" s="15"/>
      <c r="VU1" s="15"/>
      <c r="VV1" s="15"/>
      <c r="VW1" s="15"/>
      <c r="VX1" s="15"/>
      <c r="VY1" s="15"/>
      <c r="VZ1" s="15"/>
      <c r="WA1" s="15"/>
      <c r="WB1" s="15"/>
      <c r="WC1" s="15"/>
      <c r="WD1" s="15"/>
      <c r="WE1" s="15"/>
      <c r="WF1" s="15"/>
      <c r="WG1" s="15"/>
      <c r="WH1" s="15"/>
      <c r="WI1" s="15"/>
      <c r="WJ1" s="15"/>
      <c r="WK1" s="15"/>
      <c r="WL1" s="15"/>
      <c r="WM1" s="15"/>
      <c r="WN1" s="15"/>
      <c r="WO1" s="15"/>
      <c r="WP1" s="15"/>
      <c r="WQ1" s="15"/>
      <c r="WR1" s="15"/>
      <c r="WS1" s="15"/>
      <c r="WT1" s="15"/>
      <c r="WU1" s="15"/>
      <c r="WV1" s="15"/>
      <c r="WW1" s="15"/>
      <c r="WX1" s="15"/>
      <c r="WY1" s="15"/>
      <c r="WZ1" s="15"/>
      <c r="XA1" s="15"/>
      <c r="XB1" s="15"/>
      <c r="XC1" s="15"/>
      <c r="XD1" s="15"/>
      <c r="XE1" s="15"/>
      <c r="XF1" s="15"/>
      <c r="XG1" s="15"/>
      <c r="XH1" s="15"/>
      <c r="XI1" s="15"/>
      <c r="XJ1" s="15"/>
      <c r="XK1" s="15"/>
      <c r="XL1" s="15"/>
      <c r="XM1" s="15"/>
      <c r="XN1" s="15"/>
      <c r="XO1" s="15"/>
      <c r="XP1" s="15"/>
      <c r="XQ1" s="15"/>
      <c r="XR1" s="15"/>
      <c r="XS1" s="15"/>
      <c r="XT1" s="15"/>
      <c r="XU1" s="15"/>
      <c r="XV1" s="15"/>
      <c r="XW1" s="15"/>
      <c r="XX1" s="15"/>
      <c r="XY1" s="15"/>
      <c r="XZ1" s="15"/>
      <c r="YA1" s="15"/>
      <c r="YB1" s="15"/>
      <c r="YC1" s="15"/>
      <c r="YD1" s="15"/>
      <c r="YE1" s="15"/>
      <c r="YF1" s="15"/>
      <c r="YG1" s="15"/>
      <c r="YH1" s="15"/>
      <c r="YI1" s="15"/>
      <c r="YJ1" s="15"/>
      <c r="YK1" s="15"/>
      <c r="YL1" s="15"/>
      <c r="YM1" s="15"/>
      <c r="YN1" s="15"/>
      <c r="YO1" s="15"/>
      <c r="YP1" s="15"/>
      <c r="YQ1" s="15"/>
      <c r="YR1" s="15"/>
      <c r="YS1" s="15"/>
      <c r="YT1" s="15"/>
      <c r="YU1" s="15"/>
      <c r="YV1" s="15"/>
      <c r="YW1" s="15"/>
      <c r="YX1" s="15"/>
      <c r="YY1" s="15"/>
      <c r="YZ1" s="15"/>
      <c r="ZA1" s="15"/>
      <c r="ZB1" s="15"/>
      <c r="ZC1" s="15"/>
      <c r="ZD1" s="15"/>
      <c r="ZE1" s="15"/>
      <c r="ZF1" s="15"/>
      <c r="ZG1" s="15"/>
      <c r="ZH1" s="15"/>
      <c r="ZI1" s="15"/>
      <c r="ZJ1" s="15"/>
      <c r="ZK1" s="15"/>
      <c r="ZL1" s="15"/>
      <c r="ZM1" s="15"/>
      <c r="ZN1" s="15"/>
      <c r="ZO1" s="15"/>
      <c r="ZP1" s="15"/>
      <c r="ZQ1" s="15"/>
      <c r="ZR1" s="15"/>
      <c r="ZS1" s="15"/>
      <c r="ZT1" s="15"/>
      <c r="ZU1" s="15"/>
      <c r="ZV1" s="15"/>
      <c r="ZW1" s="15"/>
      <c r="ZX1" s="15"/>
      <c r="ZY1" s="15"/>
      <c r="ZZ1" s="15"/>
      <c r="AAA1" s="15"/>
      <c r="AAB1" s="15"/>
      <c r="AAC1" s="15"/>
      <c r="AAD1" s="15"/>
      <c r="AAE1" s="15"/>
      <c r="AAF1" s="15"/>
      <c r="AAG1" s="15"/>
      <c r="AAH1" s="15"/>
      <c r="AAI1" s="15"/>
      <c r="AAJ1" s="15"/>
      <c r="AAK1" s="15"/>
      <c r="AAL1" s="15"/>
      <c r="AAM1" s="15"/>
      <c r="AAN1" s="15"/>
      <c r="AAO1" s="15"/>
      <c r="AAP1" s="15"/>
      <c r="AAQ1" s="15"/>
      <c r="AAR1" s="15"/>
      <c r="AAS1" s="15"/>
      <c r="AAT1" s="15"/>
      <c r="AAU1" s="15"/>
      <c r="AAV1" s="15"/>
      <c r="AAW1" s="15"/>
      <c r="AAX1" s="15"/>
      <c r="AAY1" s="15"/>
      <c r="AAZ1" s="15"/>
      <c r="ABA1" s="15"/>
      <c r="ABB1" s="15"/>
      <c r="ABC1" s="15"/>
      <c r="ABD1" s="15"/>
      <c r="ABE1" s="15"/>
      <c r="ABF1" s="15"/>
      <c r="ABG1" s="15"/>
      <c r="ABH1" s="15"/>
      <c r="ABI1" s="15"/>
      <c r="ABJ1" s="15"/>
      <c r="ABK1" s="15"/>
      <c r="ABL1" s="15"/>
      <c r="ABM1" s="15"/>
      <c r="ABN1" s="15"/>
      <c r="ABO1" s="15"/>
      <c r="ABP1" s="15"/>
      <c r="ABQ1" s="15"/>
      <c r="ABR1" s="15"/>
      <c r="ABS1" s="15"/>
      <c r="ABT1" s="15"/>
      <c r="ABU1" s="15"/>
      <c r="ABV1" s="15"/>
      <c r="ABW1" s="15"/>
      <c r="ABX1" s="15"/>
      <c r="ABY1" s="15"/>
      <c r="ABZ1" s="15"/>
      <c r="ACA1" s="15"/>
      <c r="ACB1" s="15"/>
      <c r="ACC1" s="15"/>
      <c r="ACD1" s="15"/>
      <c r="ACE1" s="15"/>
      <c r="ACF1" s="15"/>
      <c r="ACG1" s="15"/>
      <c r="ACH1" s="15"/>
      <c r="ACI1" s="15"/>
      <c r="ACJ1" s="15"/>
      <c r="ACK1" s="15"/>
      <c r="ACL1" s="15"/>
      <c r="ACM1" s="15"/>
      <c r="ACN1" s="15"/>
      <c r="ACO1" s="15"/>
      <c r="ACP1" s="15"/>
      <c r="ACQ1" s="15"/>
      <c r="ACR1" s="15"/>
      <c r="ACS1" s="15"/>
      <c r="ACT1" s="15"/>
      <c r="ACU1" s="15"/>
      <c r="ACV1" s="15"/>
      <c r="ACW1" s="15"/>
      <c r="ACX1" s="15"/>
      <c r="ACY1" s="15"/>
      <c r="ACZ1" s="15"/>
      <c r="ADA1" s="15"/>
      <c r="ADB1" s="15"/>
      <c r="ADC1" s="15"/>
      <c r="ADD1" s="15"/>
      <c r="ADE1" s="15"/>
      <c r="ADF1" s="15"/>
      <c r="ADG1" s="15"/>
      <c r="ADH1" s="15"/>
      <c r="ADI1" s="15"/>
      <c r="ADJ1" s="15"/>
      <c r="ADK1" s="15"/>
      <c r="ADL1" s="15"/>
      <c r="ADM1" s="15"/>
      <c r="ADN1" s="15"/>
      <c r="ADO1" s="15"/>
      <c r="ADP1" s="15"/>
      <c r="ADQ1" s="15"/>
      <c r="ADR1" s="15"/>
      <c r="ADS1" s="15"/>
      <c r="ADT1" s="15"/>
      <c r="ADU1" s="15"/>
      <c r="ADV1" s="15"/>
      <c r="ADW1" s="15"/>
      <c r="ADX1" s="15"/>
      <c r="ADY1" s="15"/>
      <c r="ADZ1" s="15"/>
      <c r="AEA1" s="15"/>
      <c r="AEB1" s="15"/>
      <c r="AEC1" s="15"/>
      <c r="AED1" s="15"/>
      <c r="AEE1" s="15"/>
      <c r="AEF1" s="15"/>
      <c r="AEG1" s="15"/>
      <c r="AEH1" s="15"/>
      <c r="AEI1" s="15"/>
      <c r="AEJ1" s="15"/>
      <c r="AEK1" s="15"/>
      <c r="AEL1" s="15"/>
      <c r="AEM1" s="15"/>
      <c r="AEN1" s="15"/>
      <c r="AEO1" s="15"/>
      <c r="AEP1" s="15"/>
      <c r="AEQ1" s="15"/>
      <c r="AER1" s="15"/>
      <c r="AES1" s="15"/>
      <c r="AET1" s="15"/>
      <c r="AEU1" s="15"/>
      <c r="AEV1" s="15"/>
      <c r="AEW1" s="15"/>
      <c r="AEX1" s="15"/>
      <c r="AEY1" s="15"/>
      <c r="AEZ1" s="15"/>
      <c r="AFA1" s="15"/>
      <c r="AFB1" s="15"/>
      <c r="AFC1" s="15"/>
      <c r="AFD1" s="15"/>
      <c r="AFE1" s="15"/>
      <c r="AFF1" s="15"/>
      <c r="AFG1" s="15"/>
      <c r="AFH1" s="15"/>
      <c r="AFI1" s="15"/>
      <c r="AFJ1" s="15"/>
      <c r="AFK1" s="15"/>
      <c r="AFL1" s="15"/>
      <c r="AFM1" s="15"/>
      <c r="AFN1" s="15"/>
      <c r="AFO1" s="15"/>
      <c r="AFP1" s="15"/>
      <c r="AFQ1" s="15"/>
      <c r="AFR1" s="15"/>
      <c r="AFS1" s="15"/>
      <c r="AFT1" s="15"/>
      <c r="AFU1" s="15"/>
      <c r="AFV1" s="15"/>
      <c r="AFW1" s="15"/>
      <c r="AFX1" s="15"/>
      <c r="AFY1" s="15"/>
      <c r="AFZ1" s="15"/>
      <c r="AGA1" s="15"/>
      <c r="AGB1" s="15"/>
      <c r="AGC1" s="15"/>
      <c r="AGD1" s="15"/>
      <c r="AGE1" s="15"/>
      <c r="AGF1" s="15"/>
      <c r="AGG1" s="15"/>
      <c r="AGH1" s="15"/>
      <c r="AGI1" s="15"/>
      <c r="AGJ1" s="15"/>
      <c r="AGK1" s="15"/>
      <c r="AGL1" s="15"/>
      <c r="AGM1" s="15"/>
      <c r="AGN1" s="15"/>
      <c r="AGO1" s="15"/>
      <c r="AGP1" s="15"/>
      <c r="AGQ1" s="15"/>
      <c r="AGR1" s="15"/>
      <c r="AGS1" s="15"/>
      <c r="AGT1" s="15"/>
      <c r="AGU1" s="15"/>
      <c r="AGV1" s="15"/>
      <c r="AGW1" s="15"/>
      <c r="AGX1" s="15"/>
      <c r="AGY1" s="15"/>
      <c r="AGZ1" s="15"/>
      <c r="AHA1" s="15"/>
      <c r="AHB1" s="15"/>
      <c r="AHC1" s="15"/>
      <c r="AHD1" s="15"/>
      <c r="AHE1" s="15"/>
      <c r="AHF1" s="15"/>
      <c r="AHG1" s="15"/>
      <c r="AHH1" s="15"/>
      <c r="AHI1" s="15"/>
      <c r="AHJ1" s="15"/>
      <c r="AHK1" s="15"/>
      <c r="AHL1" s="15"/>
      <c r="AHM1" s="15"/>
      <c r="AHN1" s="15"/>
      <c r="AHO1" s="15"/>
      <c r="AHP1" s="15"/>
      <c r="AHQ1" s="15"/>
      <c r="AHR1" s="15"/>
      <c r="AHS1" s="15"/>
      <c r="AHT1" s="15"/>
      <c r="AHU1" s="15"/>
      <c r="AHV1" s="15"/>
      <c r="AHW1" s="15"/>
      <c r="AHX1" s="15"/>
      <c r="AHY1" s="15"/>
      <c r="AHZ1" s="15"/>
      <c r="AIA1" s="15"/>
      <c r="AIB1" s="15"/>
      <c r="AIC1" s="15"/>
      <c r="AID1" s="15"/>
      <c r="AIE1" s="15"/>
      <c r="AIF1" s="15"/>
      <c r="AIG1" s="15"/>
      <c r="AIH1" s="15"/>
      <c r="AII1" s="15"/>
      <c r="AIJ1" s="15"/>
      <c r="AIK1" s="15"/>
      <c r="AIL1" s="15"/>
      <c r="AIM1" s="15"/>
      <c r="AIN1" s="15"/>
      <c r="AIO1" s="15"/>
      <c r="AIP1" s="15"/>
      <c r="AIQ1" s="15"/>
      <c r="AIR1" s="15"/>
      <c r="AIS1" s="15"/>
      <c r="AIT1" s="15"/>
      <c r="AIU1" s="15"/>
      <c r="AIV1" s="15"/>
      <c r="AIW1" s="15"/>
      <c r="AIX1" s="15"/>
      <c r="AIY1" s="15"/>
      <c r="AIZ1" s="15"/>
      <c r="AJA1" s="15"/>
      <c r="AJB1" s="15"/>
      <c r="AJC1" s="15"/>
      <c r="AJD1" s="15"/>
      <c r="AJE1" s="15"/>
      <c r="AJF1" s="15"/>
      <c r="AJG1" s="15"/>
      <c r="AJH1" s="15"/>
      <c r="AJI1" s="15"/>
      <c r="AJJ1" s="15"/>
      <c r="AJK1" s="15"/>
      <c r="AJL1" s="15"/>
      <c r="AJM1" s="15"/>
      <c r="AJN1" s="15"/>
      <c r="AJO1" s="15"/>
      <c r="AJP1" s="15"/>
      <c r="AJQ1" s="15"/>
      <c r="AJR1" s="15"/>
      <c r="AJS1" s="15"/>
      <c r="AJT1" s="15"/>
      <c r="AJU1" s="15"/>
      <c r="AJV1" s="15"/>
      <c r="AJW1" s="15"/>
      <c r="AJX1" s="15"/>
      <c r="AJY1" s="15"/>
      <c r="AJZ1" s="15"/>
      <c r="AKA1" s="15"/>
      <c r="AKB1" s="15"/>
      <c r="AKC1" s="15"/>
      <c r="AKD1" s="15"/>
      <c r="AKE1" s="15"/>
      <c r="AKF1" s="15"/>
      <c r="AKG1" s="15"/>
      <c r="AKH1" s="15"/>
      <c r="AKI1" s="15"/>
      <c r="AKJ1" s="15"/>
      <c r="AKK1" s="15"/>
      <c r="AKL1" s="15"/>
      <c r="AKM1" s="15"/>
      <c r="AKN1" s="15"/>
      <c r="AKO1" s="15"/>
      <c r="AKP1" s="15"/>
      <c r="AKQ1" s="15"/>
      <c r="AKR1" s="15"/>
      <c r="AKS1" s="15"/>
      <c r="AKT1" s="15"/>
      <c r="AKU1" s="15"/>
      <c r="AKV1" s="15"/>
      <c r="AKW1" s="15"/>
      <c r="AKX1" s="15"/>
      <c r="AKY1" s="15"/>
      <c r="AKZ1" s="15"/>
      <c r="ALA1" s="15"/>
      <c r="ALB1" s="15"/>
      <c r="ALC1" s="15"/>
      <c r="ALD1" s="15"/>
      <c r="ALE1" s="15"/>
      <c r="ALF1" s="15"/>
      <c r="ALG1" s="15"/>
      <c r="ALH1" s="15"/>
      <c r="ALI1" s="15"/>
      <c r="ALJ1" s="15"/>
      <c r="ALK1" s="15"/>
      <c r="ALL1" s="15"/>
      <c r="ALM1" s="15"/>
      <c r="ALN1" s="15"/>
      <c r="ALO1" s="15"/>
      <c r="ALP1" s="15"/>
      <c r="ALQ1" s="15"/>
      <c r="ALR1" s="15"/>
      <c r="ALS1" s="15"/>
      <c r="ALT1" s="15"/>
      <c r="ALU1" s="15"/>
      <c r="ALV1" s="15"/>
      <c r="ALW1" s="15"/>
      <c r="ALX1" s="15"/>
      <c r="ALY1" s="15"/>
      <c r="ALZ1" s="15"/>
      <c r="AMA1" s="15"/>
      <c r="AMB1" s="15"/>
      <c r="AMC1" s="15"/>
      <c r="AMD1" s="15"/>
      <c r="AME1" s="15"/>
      <c r="AMF1" s="15"/>
      <c r="AMG1" s="15"/>
      <c r="AMH1" s="15"/>
      <c r="AMI1" s="15"/>
      <c r="AMJ1" s="15"/>
    </row>
    <row r="2" spans="1:1024" x14ac:dyDescent="0.2">
      <c r="A2" s="2" t="s">
        <v>341</v>
      </c>
      <c r="B2" s="2" t="s">
        <v>342</v>
      </c>
      <c r="C2" s="2" t="s">
        <v>10</v>
      </c>
    </row>
    <row r="3" spans="1:1024" ht="89.25" x14ac:dyDescent="0.2">
      <c r="A3" s="1" t="s">
        <v>343</v>
      </c>
      <c r="B3" s="1" t="s">
        <v>344</v>
      </c>
      <c r="C3" s="1" t="s">
        <v>345</v>
      </c>
    </row>
    <row r="4" spans="1:1024" ht="89.25" x14ac:dyDescent="0.2">
      <c r="A4" s="1" t="s">
        <v>346</v>
      </c>
      <c r="B4" s="1" t="s">
        <v>344</v>
      </c>
      <c r="C4" s="1" t="s">
        <v>347</v>
      </c>
    </row>
    <row r="5" spans="1:1024" ht="89.25" x14ac:dyDescent="0.2">
      <c r="A5" s="1" t="s">
        <v>348</v>
      </c>
      <c r="B5" s="1" t="s">
        <v>344</v>
      </c>
      <c r="C5" s="1" t="s">
        <v>349</v>
      </c>
    </row>
    <row r="6" spans="1:1024" ht="89.25" x14ac:dyDescent="0.2">
      <c r="A6" s="1" t="s">
        <v>350</v>
      </c>
      <c r="B6" s="1" t="s">
        <v>344</v>
      </c>
      <c r="C6" s="1" t="s">
        <v>351</v>
      </c>
    </row>
    <row r="7" spans="1:1024" ht="38.25" x14ac:dyDescent="0.2">
      <c r="A7" s="1" t="s">
        <v>352</v>
      </c>
      <c r="B7" s="1" t="s">
        <v>344</v>
      </c>
      <c r="C7" s="1" t="s">
        <v>353</v>
      </c>
    </row>
    <row r="8" spans="1:1024" ht="38.25" x14ac:dyDescent="0.2">
      <c r="A8" s="1" t="s">
        <v>354</v>
      </c>
      <c r="B8" s="1" t="s">
        <v>344</v>
      </c>
      <c r="C8" s="1" t="s">
        <v>355</v>
      </c>
    </row>
    <row r="9" spans="1:1024" ht="89.25" x14ac:dyDescent="0.2">
      <c r="A9" s="1" t="s">
        <v>356</v>
      </c>
      <c r="B9" s="1" t="s">
        <v>344</v>
      </c>
      <c r="C9" s="1" t="s">
        <v>357</v>
      </c>
    </row>
    <row r="10" spans="1:1024" ht="89.25" x14ac:dyDescent="0.2">
      <c r="A10" s="1" t="s">
        <v>358</v>
      </c>
      <c r="B10" s="1" t="s">
        <v>344</v>
      </c>
      <c r="C10" s="1" t="s">
        <v>359</v>
      </c>
    </row>
    <row r="11" spans="1:1024" ht="38.25" x14ac:dyDescent="0.2">
      <c r="A11" s="1" t="s">
        <v>360</v>
      </c>
      <c r="B11" s="1" t="s">
        <v>344</v>
      </c>
      <c r="C11" s="1" t="s">
        <v>361</v>
      </c>
    </row>
  </sheetData>
  <pageMargins left="0" right="0" top="0.39370078740157483" bottom="0.39370078740157483" header="0" footer="0"/>
  <headerFooter>
    <oddHeader>&amp;C&amp;A</oddHeader>
    <oddFooter>&amp;CPagina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11"/>
  <dimension ref="A1"/>
  <sheetViews>
    <sheetView workbookViewId="0"/>
  </sheetViews>
  <sheetFormatPr defaultColWidth="9" defaultRowHeight="12.75" x14ac:dyDescent="0.2"/>
  <cols>
    <col min="1" max="1" width="10.625" style="14" customWidth="1"/>
    <col min="2" max="16384" width="9" style="14"/>
  </cols>
  <sheetData/>
  <pageMargins left="0" right="0" top="0.39370078740157483" bottom="0.39370078740157483" header="0" footer="0"/>
  <headerFooter>
    <oddHeader>&amp;C&amp;A</oddHeader>
    <oddFooter>&amp;CPagina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Blad12"/>
  <dimension ref="A1"/>
  <sheetViews>
    <sheetView workbookViewId="0"/>
  </sheetViews>
  <sheetFormatPr defaultColWidth="9" defaultRowHeight="12.75" x14ac:dyDescent="0.2"/>
  <cols>
    <col min="1" max="1" width="10.625" style="14" customWidth="1"/>
    <col min="2" max="16384" width="9" style="14"/>
  </cols>
  <sheetData/>
  <pageMargins left="0" right="0" top="0.39370078740157483" bottom="0.39370078740157483" header="0" footer="0"/>
  <headerFooter>
    <oddHeader>&amp;C&amp;A</oddHeader>
    <oddFooter>&amp;CPagina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0FADDF3D9201C458572280A8311A72B" ma:contentTypeVersion="14" ma:contentTypeDescription="Een nieuw document maken." ma:contentTypeScope="" ma:versionID="7ae6606d95fdae22679e0cd9d950eada">
  <xsd:schema xmlns:xsd="http://www.w3.org/2001/XMLSchema" xmlns:xs="http://www.w3.org/2001/XMLSchema" xmlns:p="http://schemas.microsoft.com/office/2006/metadata/properties" xmlns:ns2="a379d546-6df6-42fe-9fc4-ce0f23b99d99" xmlns:ns3="bb9dad94-8ba3-42aa-94b4-e7db833c08c7" targetNamespace="http://schemas.microsoft.com/office/2006/metadata/properties" ma:root="true" ma:fieldsID="a7e23c38bf02b4d9898eaddb92662d0f" ns2:_="" ns3:_="">
    <xsd:import namespace="a379d546-6df6-42fe-9fc4-ce0f23b99d99"/>
    <xsd:import namespace="bb9dad94-8ba3-42aa-94b4-e7db833c08c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79d546-6df6-42fe-9fc4-ce0f23b99d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a99bed0e-432a-4091-b929-67b863917b6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b9dad94-8ba3-42aa-94b4-e7db833c08c7" elementFormDefault="qualified">
    <xsd:import namespace="http://schemas.microsoft.com/office/2006/documentManagement/types"/>
    <xsd:import namespace="http://schemas.microsoft.com/office/infopath/2007/PartnerControls"/>
    <xsd:element name="SharedWithUsers" ma:index="11"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Gedeeld met details" ma:internalName="SharedWithDetails" ma:readOnly="true">
      <xsd:simpleType>
        <xsd:restriction base="dms:Note">
          <xsd:maxLength value="255"/>
        </xsd:restriction>
      </xsd:simpleType>
    </xsd:element>
    <xsd:element name="TaxCatchAll" ma:index="16" nillable="true" ma:displayName="Taxonomy Catch All Column" ma:hidden="true" ma:list="{59a06ac0-b166-4d46-9555-bf3088b60bc1}" ma:internalName="TaxCatchAll" ma:showField="CatchAllData" ma:web="bb9dad94-8ba3-42aa-94b4-e7db833c08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379d546-6df6-42fe-9fc4-ce0f23b99d99">
      <Terms xmlns="http://schemas.microsoft.com/office/infopath/2007/PartnerControls"/>
    </lcf76f155ced4ddcb4097134ff3c332f>
    <TaxCatchAll xmlns="bb9dad94-8ba3-42aa-94b4-e7db833c08c7" xsi:nil="true"/>
  </documentManagement>
</p:properties>
</file>

<file path=customXml/itemProps1.xml><?xml version="1.0" encoding="utf-8"?>
<ds:datastoreItem xmlns:ds="http://schemas.openxmlformats.org/officeDocument/2006/customXml" ds:itemID="{A576B705-0FD9-4325-95B3-D72C62F0D4B9}">
  <ds:schemaRefs>
    <ds:schemaRef ds:uri="http://schemas.microsoft.com/sharepoint/v3/contenttype/forms"/>
  </ds:schemaRefs>
</ds:datastoreItem>
</file>

<file path=customXml/itemProps2.xml><?xml version="1.0" encoding="utf-8"?>
<ds:datastoreItem xmlns:ds="http://schemas.openxmlformats.org/officeDocument/2006/customXml" ds:itemID="{08539174-E7B0-403B-9F44-CF1B55AE5BBC}"/>
</file>

<file path=customXml/itemProps3.xml><?xml version="1.0" encoding="utf-8"?>
<ds:datastoreItem xmlns:ds="http://schemas.openxmlformats.org/officeDocument/2006/customXml" ds:itemID="{77A5701B-3220-488B-A96E-F8BA71A4A5CC}">
  <ds:schemaRefs>
    <ds:schemaRef ds:uri="http://schemas.microsoft.com/office/2006/metadata/properties"/>
    <ds:schemaRef ds:uri="http://schemas.microsoft.com/office/infopath/2007/PartnerControls"/>
    <ds:schemaRef ds:uri="a379d546-6df6-42fe-9fc4-ce0f23b99d99"/>
    <ds:schemaRef ds:uri="bb9dad94-8ba3-42aa-94b4-e7db833c08c7"/>
  </ds:schemaRefs>
</ds:datastoreItem>
</file>

<file path=docMetadata/LabelInfo.xml><?xml version="1.0" encoding="utf-8"?>
<clbl:labelList xmlns:clbl="http://schemas.microsoft.com/office/2020/mipLabelMetadata">
  <clbl:label id="{0ce80e9c-661b-453a-b52e-c00e4f65cc34}" enabled="1" method="Standard" siteId="{bbc3bd55-2812-4652-96ae-ce7932a2e8b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13</vt:i4>
      </vt:variant>
    </vt:vector>
  </HeadingPairs>
  <TitlesOfParts>
    <vt:vector size="13" baseType="lpstr">
      <vt:lpstr>Zaaktype</vt:lpstr>
      <vt:lpstr>Statussen</vt:lpstr>
      <vt:lpstr>Checklists</vt:lpstr>
      <vt:lpstr>Rollen</vt:lpstr>
      <vt:lpstr>Objecten</vt:lpstr>
      <vt:lpstr>Eigenschappen</vt:lpstr>
      <vt:lpstr>Informatieobjecten</vt:lpstr>
      <vt:lpstr>Besluiten</vt:lpstr>
      <vt:lpstr>Resultaten</vt:lpstr>
      <vt:lpstr>Deelzaken</vt:lpstr>
      <vt:lpstr>Gerelateerde zaken</vt:lpstr>
      <vt:lpstr>Afbeelding</vt:lpstr>
      <vt:lpstr>Figuur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ZAAKTYPEN-OW</dc:title>
  <dc:subject/>
  <dc:creator>Paul Jansen</dc:creator>
  <cp:keywords/>
  <dc:description/>
  <cp:lastModifiedBy>Paul Jansen</cp:lastModifiedBy>
  <cp:revision>5</cp:revision>
  <dcterms:created xsi:type="dcterms:W3CDTF">2020-11-30T10:47:11Z</dcterms:created>
  <dcterms:modified xsi:type="dcterms:W3CDTF">2025-12-18T10:26:04Z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0x01010080FADDF3D9201C458572280A8311A72B</vt:lpwstr>
  </property>
  <property fmtid="{D5CDD505-2E9C-101B-9397-08002B2CF9AE}" pid="3" name="MediaServiceImageTags">
    <vt:lpwstr/>
  </property>
</Properties>
</file>