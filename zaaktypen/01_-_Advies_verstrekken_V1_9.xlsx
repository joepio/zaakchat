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1_8/"/>
    </mc:Choice>
  </mc:AlternateContent>
  <xr:revisionPtr revIDLastSave="1256" documentId="13_ncr:1_{1DAF2C47-EA71-4F68-B893-88B6C7C9A399}" xr6:coauthVersionLast="47" xr6:coauthVersionMax="47" xr10:uidLastSave="{A9D82C5B-37CC-48AE-9F93-3BD1CEC19562}"/>
  <bookViews>
    <workbookView xWindow="-120" yWindow="-16320" windowWidth="29040" windowHeight="15720" tabRatio="781"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7" r:id="rId8"/>
    <sheet name="Resultaten" sheetId="8" r:id="rId9"/>
    <sheet name="Deelzaken" sheetId="9" r:id="rId10"/>
    <sheet name="Gerelateerde zaken" sheetId="10" r:id="rId11"/>
    <sheet name="Afbeelding" sheetId="11" r:id="rId12"/>
    <sheet name="Figuur" sheetId="1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 r="A1" i="10"/>
  <c r="A1" i="8"/>
  <c r="A1" i="7" l="1"/>
  <c r="A1" i="6" l="1"/>
  <c r="A1" i="4"/>
  <c r="A1" i="5"/>
  <c r="A1" i="3" l="1"/>
  <c r="A1" i="13"/>
  <c r="A1" i="2"/>
</calcChain>
</file>

<file path=xl/sharedStrings.xml><?xml version="1.0" encoding="utf-8"?>
<sst xmlns="http://schemas.openxmlformats.org/spreadsheetml/2006/main" count="534" uniqueCount="330">
  <si>
    <t>Kenmerk</t>
  </si>
  <si>
    <t>Waarde</t>
  </si>
  <si>
    <t>IDENTIFICATIE</t>
  </si>
  <si>
    <t>OMSCHRIJVING</t>
  </si>
  <si>
    <t>Advies verstrekken</t>
  </si>
  <si>
    <t>CATEGORIE</t>
  </si>
  <si>
    <t>Adviseren</t>
  </si>
  <si>
    <t>DOEL</t>
  </si>
  <si>
    <t>Eén of meer (aan)vragen en/of plannen die betrekking hebben op de fysieke leefomgeving 
toetsen aan geldende regelgeving, en/of
toetsen aan (vastgesteld) beleid, en/of
verifiëren of de gevolgen van die (aan)vragen en/of plannen voor het beheergebied van de zaakbehandelende organisatie in voldoende mate zijn geborgd
en de resultaten daarvan kenbaar maken aan de aanvrager van het advies, of - indien het advies ongevraagd wordt verstrekt - de belanghebbenden bij het advies.</t>
  </si>
  <si>
    <t>AANLEIDING</t>
  </si>
  <si>
    <t>Een (andere) overheidsorganisatie behandelt één of meer (aan)vragen en/of plannen die betrekking hebben op de fysieke leefomgeving. De zaakbehandelende organisatie
is op grond van regelgeving formeel om advies gevraagd of heeft op grond van regelgeving het recht ongevraagd te adviseren, of
is op grond van diens expertise - zonder dat daartoe op grond van regelgeving enige verplichting bestaat - om advies gevraagd.</t>
  </si>
  <si>
    <t>TOELICHTING</t>
  </si>
  <si>
    <t>De beoordeling van de (aan)vragen en/of plannen vindt plaats op grond van in regelgeving omschreven bevoegdheden (bijvoorbeeld: de zaakbehandelende organisatie wordt daarin genoemd als te raadplegen adviseur), of - als die grondslag niet aanwezig is - met een expliciet beroep op de deskundigheid van de zaakbehandelende organisatie door één of meer belanghebbenden bij de (aan)vragen / de plannen. Het resultaat van de beoordeling - het door de zaakbehandelende organisatie verstrekte advies - is om die reden niet vrijblijvend: het niet overnemen van het oordeel van de zaakbehandelende organisatie zal moeten worden gemotiveerd door de aanvrager van het advies. Het niet volgen van het uitgebrachte advies kan (later) leiden tot het indienen van een zienswijze, het instellen van bezwaar of beroep of tot (een verzoek om) handhaving, zowel door de zaakbehandelende organisatie als door andere belanghebbenden. 
Het verstrekken van een richtinggevend, maar vrijblijvend advies, is een zaak van het zaaktype 'Advies verstrekken (informeel)'.
Verlenging van de doorlooptijd vindt plaats in overleg met de aanvrager van het advies; verlenging van de behandeltermijn zal in de regel gepaard moeten gaan met een verlenging van de beslistermijn in de zaak waaraan het uit te brengen advies een bijdrage levert.</t>
  </si>
  <si>
    <t>INDICATIE INEXTERN OF EXTERN</t>
  </si>
  <si>
    <t>Extern</t>
  </si>
  <si>
    <t>HANDELING INITIATOR</t>
  </si>
  <si>
    <t>Aanvragen</t>
  </si>
  <si>
    <t>ONDERWERP</t>
  </si>
  <si>
    <t>Advies (formeel)</t>
  </si>
  <si>
    <t>HANDELING BEHANDELAAR</t>
  </si>
  <si>
    <t>Verstrekken</t>
  </si>
  <si>
    <t>DOORLOOPTIJD BEHANDELING (KALENDERDAGEN)</t>
  </si>
  <si>
    <t>- DOORLOOPTIJD - PERIODE - EENHEID</t>
  </si>
  <si>
    <t>week</t>
  </si>
  <si>
    <t>- DOORLOOPTIJD - PERIODE - DUUR</t>
  </si>
  <si>
    <t>4</t>
  </si>
  <si>
    <t>SERVICENORM BEHANDELING (KALENDERDAGEN)</t>
  </si>
  <si>
    <t>2</t>
  </si>
  <si>
    <t>OPSCHORTING / AANHOUDING MOGELIJK</t>
  </si>
  <si>
    <t>Nee</t>
  </si>
  <si>
    <t>VERLENGING MOGELIJK</t>
  </si>
  <si>
    <t>Ja</t>
  </si>
  <si>
    <t>VERLENGINGSTERMIJN</t>
  </si>
  <si>
    <t>TREFWOORDEN</t>
  </si>
  <si>
    <t>VERTROUWELIJKHEIDAANDUIDING</t>
  </si>
  <si>
    <t>Openbaar</t>
  </si>
  <si>
    <t>VERANTWOORDELIJKE</t>
  </si>
  <si>
    <t>PUBLICATIE-INDICATIE</t>
  </si>
  <si>
    <t>PUBLICATIETEKST</t>
  </si>
  <si>
    <t>PRODUCT/DIENST</t>
  </si>
  <si>
    <t>- NAAM</t>
  </si>
  <si>
    <t>G01 - Advies omgevingsvergunning / projectbesluit (AD01 - Advies activiteit fysieke leefomgeving)
G02 - Advies omgevingsvergunning / projectbesluit (AD01 - Advies activiteit fysieke leefomgeving)
G03 - Advies omgevingsvergunning / projectbesluit (AD01 - Advies activiteit fysieke leefomgeving)
G04 - Advies omgevingsvergunning / projectbesluit (AD01 - Advies activiteit fysieke leefomgeving)
GA01 - Advies omgevingsvergunning / projectbesluit (AD01 - Advies activiteit fysieke leefomgeving)
GA02 - Advies omgevingsvergunning / projectbesluit (AD01 - Advies activiteit fysieke leefomgeving)
GA03 - Advies omgevingsvergunning / projectbesluit (AD01 - Advies activiteit fysieke leefomgeving)
GA04 - Advies omgevingsvergunning / projectbesluit (AD01 - Advies activiteit fysieke leefomgeving)
GA05 - Advies omgevingsvergunning / projectbesluit (AD01 - Advies activiteit fysieke leefomgeving)
GR01 - Advies omgevingsvergunning / projectbesluit (AD01 - Advies activiteit fysieke leefomgeving)
LT01 - Advies omgevingsvergunning / projectbesluit (AD01 - Advies activiteit fysieke leefomgeving)
MBZK01 - Advies omgevingsvergunning / projectbesluit (AD01 - Advies activiteit fysieke leefomgeving)
MD01 - Advies omgevingsvergunning / projectbesluit (AD01 - Advies activiteit fysieke leefomgeving)
MD02 - Advies omgevingsvergunning / projectbesluit (AD01 - Advies activiteit fysieke leefomgeving)
MD03 - Advies omgevingsvergunning / projectbesluit (AD01 - Advies activiteit fysieke leefomgeving)
MD04 - Advies omgevingsvergunning / projectbesluit (AD01 - Advies activiteit fysieke leefomgeving)
ME01 - Advies omgevingsvergunning / projectbesluit (AD01 - Advies activiteit fysieke leefomgeving)
ME02 - Advies omgevingsvergunning / projectbesluit (AD01 - Advies activiteit fysieke leefomgeving)
MI01 - Advies omgevingsvergunning / projectbesluit (AD01 - Advies activiteit fysieke leefomgeving)
MI02 - Advies omgevingsvergunning / projectbesluit (AD01 - Advies activiteit fysieke leefomgeving)
MI03 - Advies omgevingsvergunning / projectbesluit (AD01 - Advies activiteit fysieke leefomgeving)
MI04 - Advies omgevingsvergunning / projectbesluit (AD01 - Advies activiteit fysieke leefomgeving)
MI05 - Advies omgevingsvergunning / projectbesluit (AD01 - Advies activiteit fysieke leefomgeving)
MI06 - Advies omgevingsvergunning / projectbesluit (AD01 - Advies activiteit fysieke leefomgeving)
MI07 - Advies omgevingsvergunning / projectbesluit (AD01 - Advies activiteit fysieke leefomgeving)
MI08 - Advies omgevingsvergunning / projectbesluit (AD01 - Advies activiteit fysieke leefomgeving)
MI09 - Advies omgevingsvergunning / projectbesluit (AD01 - Advies activiteit fysieke leefomgeving)
MI10 - Advies omgevingsvergunning / projectbesluit (AD01 - Advies activiteit fysieke leefomgeving)
MI11 - Advies omgevingsvergunning / projectbesluit (AD01 - Advies activiteit fysieke leefomgeving)
MI12 - Advies omgevingsvergunning / projectbesluit (AD01 - Advies activiteit fysieke leefomgeving)
MI13 - Advies omgevingsvergunning / projectbesluit (AD01 - Advies activiteit fysieke leefomgeving)
MI14 - Advies omgevingsvergunning / projectbesluit (AD01 - Advies activiteit fysieke leefomgeving)
MI15 - Advies omgevingsvergunning / projectbesluit (AD01 - Advies activiteit fysieke leefomgeving)
MLNV01 - Advies omgevingsvergunning / projectbesluit (AD01 - Advies activiteit fysieke leefomgeving)
MLNV02 - Advies omgevingsvergunning / projectbesluit (AD01 - Advies activiteit fysieke leefomgeving)
MO01 - Advies omgevingsvergunning / projectbesluit (AD01 - Advies activiteit fysieke leefomgeving)
MO02 - Advies omgevingsvergunning / projectbesluit (AD01 - Advies activiteit fysieke leefomgeving)
P01 - Advies omgevingsvergunning / projectbesluit (AD01 - Advies activiteit fysieke leefomgeving)
P02 - Advies omgevingsvergunning / projectbesluit (AD01 - Advies activiteit fysieke leefomgeving)
P03 - Advies omgevingsvergunning / projectbesluit (AD01 - Advies activiteit fysieke leefomgeving)
P04 - Advies omgevingsvergunning / projectbesluit (AD01 - Advies activiteit fysieke leefomgeving)
P05 - Advies omgevingsvergunning / projectbesluit (AD01 - Advies activiteit fysieke leefomgeving)
P06 - Advies omgevingsvergunning / projectbesluit (AD01 - Advies activiteit fysieke leefomgeving)
P07 - Advies omgevingsvergunning / projectbesluit (AD01 - Advies activiteit fysieke leefomgeving)
P08 - Advies omgevingsvergunning / projectbesluit (AD01 - Advies activiteit fysieke leefomgeving)
P09 - Advies omgevingsvergunning / projectbesluit (AD01 - Advies activiteit fysieke leefomgeving)
P10 - Advies omgevingsvergunning / projectbesluit (AD01 - Advies activiteit fysieke leefomgeving)
P11 - Advies omgevingsvergunning / projectbesluit (AD01 - Advies activiteit fysieke leefomgeving)
P12 - Advies omgevingsvergunning / projectbesluit (AD01 - Advies activiteit fysieke leefomgeving)
P13 - Advies omgevingsvergunning / projectbesluit (AD01 - Advies activiteit fysieke leefomgeving)
P14 - Advies omgevingsvergunning / projectbesluit (AD01 - Advies activiteit fysieke leefomgeving)
P15 - Advies omgevingsvergunning / projectbesluit (AD01 - Advies activiteit fysieke leefomgeving)
P16 - Advies omgevingsvergunning / projectbesluit (AD01 - Advies activiteit fysieke leefomgeving)
P17 - Advies omgevingsvergunning / projectbesluit (AD01 - Advies activiteit fysieke leefomgeving)
P18 - Advies omgevingsvergunning / projectbesluit (AD01 - Advies activiteit fysieke leefomgeving)
P19 - Advies omgevingsvergunning / projectbesluit (AD01 - Advies activiteit fysieke leefomgeving)
P20 - Advies omgevingsvergunning / projectbesluit (AD01 - Advies activiteit fysieke leefomgeving)
P21 - Advies omgevingsvergunning / projectbesluit (AD01 - Advies activiteit fysieke leefomgeving)
P22 - Advies omgevingsvergunning / projectbesluit (AD01 - Advies activiteit fysieke leefomgeving)
P23 - Advies omgevingsvergunning / projectbesluit (AD01 - Advies activiteit fysieke leefomgeving)
P24 - Advies omgevingsvergunning / projectbesluit (AD01 - Advies activiteit fysieke leefomgeving)
P25 - Advies omgevingsvergunning / projectbesluit (AD01 - Advies activiteit fysieke leefomgeving)
P26 - Advies omgevingsvergunning / projectbesluit (AD01 - Advies activiteit fysieke leefomgeving)
P27 - Advies omgevingsvergunning / projectbesluit (AD01 - Advies activiteit fysieke leefomgeving)
VHR01 - Advies omgevingsvergunning / projectbesluit (AD01 - Advies activiteit fysieke leefomgeving)
VHR02 - Advies omgevingsvergunning / projectbesluit (AD01 - Advies activiteit fysieke leefomgeving)
VHR03 - Advies omgevingsvergunning / projectbesluit (AD01 - Advies activiteit fysieke leefomgeving)
VHR04 - Advies omgevingsvergunning / projectbesluit (AD01 - Advies activiteit fysieke leefomgeving)
VHR05 - Advies omgevingsvergunning / projectbesluit (AD01 - Advies activiteit fysieke leefomgeving)
VHR06 - Advies omgevingsvergunning / projectbesluit (AD01 - Advies activiteit fysieke leefomgeving)
VHR07 - Advies omgevingsvergunning / projectbesluit (AD01 - Advies activiteit fysieke leefomgeving)
VHR08 - Advies omgevingsvergunning / projectbesluit (AD01 - Advies activiteit fysieke leefomgeving)
VHR09 - Advies omgevingsvergunning / projectbesluit (AD01 - Advies activiteit fysieke leefomgeving)
VHR10 - Advies omgevingsvergunning / projectbesluit (AD01 - Advies activiteit fysieke leefomgeving)
VHR11 - Advies omgevingsvergunning / projectbesluit (AD01 - Advies activiteit fysieke leefomgeving)
VHR12 - Advies omgevingsvergunning / projectbesluit (AD01 - Advies activiteit fysieke leefomgeving)
VHR13 - Advies omgevingsvergunning / projectbesluit (AD01 - Advies activiteit fysieke leefomgeving)
VHR14 - Advies omgevingsvergunning / projectbesluit (AD01 - Advies activiteit fysieke leefomgeving)
VHR15 - Advies omgevingsvergunning / projectbesluit (AD01 - Advies activiteit fysieke leefomgeving)
VHR16 - Advies omgevingsvergunning / projectbesluit (AD01 - Advies activiteit fysieke leefomgeving)
VHR17 - Advies omgevingsvergunning / projectbesluit (AD01 - Advies activiteit fysieke leefomgeving)
VHR18 - Advies omgevingsvergunning / projectbesluit (AD01 - Advies activiteit fysieke leefomgeving)
VHR19 - Advies omgevingsvergunning / projectbesluit (AD01 - Advies activiteit fysieke leefomgeving)
VHR20 - Advies omgevingsvergunning / projectbesluit (AD01 - Advies activiteit fysieke leefomgeving)
VHR21 - Advies omgevingsvergunning / projectbesluit (AD01 - Advies activiteit fysieke leefomgeving)
VHR22 - Advies omgevingsvergunning / projectbesluit (AD01 - Advies activiteit fysieke leefomgeving)
VHR23 - Advies omgevingsvergunning / projectbesluit (AD01 - Advies activiteit fysieke leefomgeving)
VHR24 - Advies omgevingsvergunning / projectbesluit (AD01 - Advies activiteit fysieke leefomgeving)
VHR25 - Advies omgevingsvergunning / projectbesluit (AD01 - Advies activiteit fysieke leefomgeving)
VHR26 - Advies omgevingsvergunning / projectbesluit (AD01 - Advies activiteit fysieke leefomgeving)
VHR27 - Advies omgevingsvergunning / projectbesluit (AD01 - Advies activiteit fysieke leefomgeving)
VVR01 - Advies omgevingsvergunning / projectbesluit (AD01 - Advies activiteit fysieke leefomgeving)
W01 - Advies omgevingsvergunning / projectbesluit (AD01 - Advies activiteit fysieke leefomgeving)
W02 - Advies omgevingsvergunning / projectbesluit (AD01 - Advies activiteit fysieke leefomgeving)
W03 - Advies omgevingsvergunning / projectbesluit (AD01 - Advies activiteit fysieke leefomgeving)
W04 - Advies omgevingsvergunning / projectbesluit (AD01 - Advies activiteit fysieke leefomgeving)
W05 - Advies omgevingsvergunning / projectbesluit (AD01 - Advies activiteit fysieke leefomgeving)
P10 - Negatief zwemadvies (CV01 - Voorlichting)</t>
  </si>
  <si>
    <t>- LINK</t>
  </si>
  <si>
    <t>REFERENTIEPROCES</t>
  </si>
  <si>
    <t>VERANTWOORDINGSRELATIE</t>
  </si>
  <si>
    <t>ARCHIEFCLASSIFICATIE:</t>
  </si>
  <si>
    <t>- BRON</t>
  </si>
  <si>
    <t>- CODE</t>
  </si>
  <si>
    <t>- INDICATIE ZTC</t>
  </si>
  <si>
    <t>SELECTIELIJST PROCESTYPE:</t>
  </si>
  <si>
    <t>- NUMMER</t>
  </si>
  <si>
    <t>- PROCESOBJECTTYPE</t>
  </si>
  <si>
    <t>- SELECTIELIJST-OMSCHRIJVING</t>
  </si>
  <si>
    <t>IS DEELZAAKTYPE VAN ZAAKTYPEN</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</si>
  <si>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</si>
  <si>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</si>
  <si>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</si>
  <si>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</si>
  <si>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</si>
  <si>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</si>
  <si>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</si>
  <si>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</si>
  <si>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</si>
  <si>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</si>
  <si>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</si>
  <si>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</si>
  <si>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</si>
  <si>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</si>
  <si>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1</t>
  </si>
  <si>
    <t>Zaak gestart</t>
  </si>
  <si>
    <t>kalenderdagen</t>
  </si>
  <si>
    <t>De zaak is geregistreerd, maar is nog geen sprake van een afgeronde registratie. Er is - al dan niet geautomatiseerd - een bewijs van ontvangst verzonden.</t>
  </si>
  <si>
    <t>Intake afgerond</t>
  </si>
  <si>
    <t>De zaak is geregistreerd.
Allereerst is beoordeeld of de zaakbehandelende organisatie bevoegd en/of geëquipeerd is - op grond van wet- en regelgeving of specialistische deskundigheid - te adviseren. Zo ja, dan is de zaak toegewezen aan de behandelend medewerker of het behandelend organisatieonderdeel. Als de zaak niet kan worden behandeld door de zaakbehandelende organisatie, worden de statussen 3 en 4 pro forma doorlopen en bevat het adviesrapport (status 5) deze constatering.</t>
  </si>
  <si>
    <t>Adviesaanvraag
Ontvangstbevestiging</t>
  </si>
  <si>
    <t>3</t>
  </si>
  <si>
    <t>Getoetst op behandelbaarheid</t>
  </si>
  <si>
    <t>De adviesaanvraag is beoordeeld op volledigheid (indieningsvereisten) en aanvaardbaar­heid (vormvereisten) van de ontvangen informatie.
Als de in de adviesaanvraag verstrekte informatie deze beoordeling niet heeft doorstaan, is de adviesaanvraag buiten behandeling gesteld. Status 4 wordt in dat geval pro forma uitgevoerd en in het adviesrapport (status 5) wordt vermeld op welke aspecten de aanvraag onvoldoende duidelijk was en/of op welke aspecten de aanvraag moet worden aangevuld om wel inhoudelijk te kunnen worden beoordeeld. </t>
  </si>
  <si>
    <t>Beoordeling uitgevoerd</t>
  </si>
  <si>
    <t>De van de adviesaanvraag deel uitmakende informatie is getoetst aan relevante regelgeving en (vastgesteld) beleid. Waar nodig zijn interne en/of externe specialisten en/of andere overheden betrokken bij deze toetsing. Eventuele deeladviezen zijn ontvangen. Het adviesrapport is in concept opgesteld.</t>
  </si>
  <si>
    <t>5</t>
  </si>
  <si>
    <t>Adviesrapport vastgesteld</t>
  </si>
  <si>
    <t>Het concept van het adviesrapport kan zijn getoetst door een collega en is goedgekeurd op basis van de geldende mandaatafspraken.</t>
  </si>
  <si>
    <t>Adviesrapport</t>
  </si>
  <si>
    <t>6</t>
  </si>
  <si>
    <t>Zaak afgerond</t>
  </si>
  <si>
    <t>Het adviesrapport is ter beschikking gesteld aan de aanvrager en de zaak is afgesloten en gearchiveerd. Als de adviesaanvrager een andere overheidsorganisatie is, is er een gerelateerde zaak aangemaakt waarmee wordt bewaakt dat de beschikking waaraan het advies een bijdrage heeft geleverd, is ontvangen van de adviesaanvrager.</t>
  </si>
  <si>
    <t>Statustype</t>
  </si>
  <si>
    <t>Itemnaam</t>
  </si>
  <si>
    <t>Vraagstelling</t>
  </si>
  <si>
    <t>Verplicht</t>
  </si>
  <si>
    <t>1 - Registratie</t>
  </si>
  <si>
    <t>Is de aanvraag geregistreerd als nieuwe zaak?</t>
  </si>
  <si>
    <t>Direct na ontvangst van de Adviesaanvraag wordt een zaak aangemaakt voor de behandeling ervan. Idealiter is het juiste zaaktype bepaald en zijn alle voor een zaak van dat zaaktype relevant gegevens vastgelegd. Indien dat niet mogelijk is, wordt het vervolg van de registratie uitgevoerd door een medewerker die deskundig is binnen het domein waarop de zaak betrekking heeft.</t>
  </si>
  <si>
    <t>2 - Ontvangstbevestiging</t>
  </si>
  <si>
    <t>Is een ontvangstbevestiging verzonden?</t>
  </si>
  <si>
    <t>Na ontvangst van een adviesaanvraag wordt een ontvangstbevestiging verzonden, waarin de dag van ontvangst van de adviesaanvraag is vermeld.</t>
  </si>
  <si>
    <t>1 - Juiste zaakbehandelende organisatie</t>
  </si>
  <si>
    <t>Is de zaakbehandelende organisatie bevoegd de zaak te behandelen?</t>
  </si>
  <si>
    <t>Beoordeeld wordt of de zaakbehandelende organisatie de zaak kan behandelen, hetzij omdat de zaakbehandelende organisatie daartoe bevoegd is (wettelijk adviseur, afdeling 3.3 Algemene wet bestuursrecht, § 2.5 Wet algemene bepalingen omgevingsrecht, art. 16.11, art. 16.15 en art 16.6 Omgevingswet, art. 10, lid b en lid c Wet veiligheidsregio's), dan wel omdat het bevoegd gezag de zaakbehandelende organisatie (bijvoorbeeld een omgevingsdienst of veiligheidsregio) heeft gemandateerd te adviseren over het onderwerp waarop de adviesaanvraag betrekking heeft. Indien de zaakbehandelende organisatie niet bevoegd of onvoldoende gemandateerd is, worden de statussen 3 en 4 pro forma doorlopen en bevat het adviesrapport deze constatering.</t>
  </si>
  <si>
    <t>2 - Registratie</t>
  </si>
  <si>
    <t>Zijn de gegevens compleet?</t>
  </si>
  <si>
    <t>Controleer of alle documenten en gegevens die binnen zijn gekomen ten behoeve van deze zaak, correct geregistreerd zijn in de zaak.</t>
  </si>
  <si>
    <t>3 - Behandelaar</t>
  </si>
  <si>
    <t>Is het behandelend team of medewerker bepaald?</t>
  </si>
  <si>
    <t>De behandelend medewerker of het behandelend organisatieonderdeel is bepaald en de zaak is volledig geregistreerd.</t>
  </si>
  <si>
    <t>1 - Volledig</t>
  </si>
  <si>
    <t>Is de adviesaanvraag aanvaardbaar en volledig ingediend?</t>
  </si>
  <si>
    <t>Beoordeeld wordt - samen met eventuele adviseurs - of de ingediende adviesaanvraag aanvaardbaar en volledig is (ontvankelijkheidstoets). Is dit niet het geval, dan is de adviesaanvraag buiten behandeling gesteld. Status 4 wordt in dat geval pro forma uitgevoerd en in het adviesrapport (status 5) wordt vermeld op welke aspecten de aanvraag onvoldoende duidelijk was en/of op welke aspecten de aanvraag moet worden aangevuld om wel inhoudelijk te kunnen worden beoordeeld. </t>
  </si>
  <si>
    <t>1 - Adviezen gevraagd</t>
  </si>
  <si>
    <t>Zijn de voor de beoordeling relevante adviezen gevraagd?</t>
  </si>
  <si>
    <t>Voor het toetsen van de aanvraag aan regelgeving en het zorgvuldig afwegen van belangen, kunnen adviezen van specialisten op specifieke aspecten van de adviesaanvraag noodzakelijk zijn.</t>
  </si>
  <si>
    <t>2 - Adviezen ontvangen</t>
  </si>
  <si>
    <t>Zijn de aangevraagde adviezen ontvangen en verwerkt in het adviesrapport?</t>
  </si>
  <si>
    <t>Gecontroleerd wordt of de gevraagde specialistische adviezen zijn ontvangen. De adviezen zijn verwerkt in het concept van het adviesrapport.</t>
  </si>
  <si>
    <t>3 - Conceptrapport opgesteld</t>
  </si>
  <si>
    <t>Is het concept van het adviesrapport opgesteld?</t>
  </si>
  <si>
    <t>Het concept van het adviesrapport is opgesteld. Indien geconstateerd is dat de adviesaanvraag onvoldoende volledig of aanvaardbaar is, is in het adviesrapport vermeld op welke aspecten de aanvraag onvoldoende duidelijk was en/of op welke aspecten de aanvraag moet worden aangevuld om wel inhoudelijk te kunnen worden beoordeeld. </t>
  </si>
  <si>
    <t>1 - Concept getoetst</t>
  </si>
  <si>
    <t>Is het concept van het adviesrapport (collegiaal) getoetst?</t>
  </si>
  <si>
    <t>Afhankelijk van de aard van de adviesaanvraag en de afspraken binnen de zaakbehandelende organisatie, kan het concept van het adviesrapport collegiaal moeten worden getoetst.</t>
  </si>
  <si>
    <t>2 - Concept goedgekeurd</t>
  </si>
  <si>
    <t>Is het concept van het adviesrapport goedgekeurd?</t>
  </si>
  <si>
    <t>Afhankelijk van de aard van de aanvraag en in- en externe afspraken over mandatering, kan het nodig zijn het concept van het adviesrapport te laten fiatteren / goedkeuren op basis van de mandaatafspraken. Deze goedkeuring kan zowel intern (door bijvoorbeeld een afdelingshoofd van de zaakbehandelende organisatie) en/of extern (door het bevoegd gezag) zijn vereist.</t>
  </si>
  <si>
    <t>1 - Toezending</t>
  </si>
  <si>
    <t>Is het adviesrapport toegezonden aan de aanvrager van het advies?</t>
  </si>
  <si>
    <t>Het adviesrapport wordt toegezonden aan de aanvrager van het advies.</t>
  </si>
  <si>
    <t>2 - Archivering</t>
  </si>
  <si>
    <t>Is het zaakdossier compleet en archiefwaardig?</t>
  </si>
  <si>
    <t>Gecontroleerd wordt of het zaakdossier alle relevante informatie bevat en is ontdaan van - voor de reproductie van / verantwoording over de procesgang - niet relevante informatie. Alle in het zaakdossier vastgelegde informatie is of wordt voorzien van de voor archivering vereiste metadata en is of wordt opgeslagen in een duurzaam toegankelijk (bestands)formaat.</t>
  </si>
  <si>
    <t>3 - Vervolgzaak</t>
  </si>
  <si>
    <t>Is of zijn de voor deze zaak relevante vervolgza(a)k(en) gepland?</t>
  </si>
  <si>
    <t>Er wordt zaak van het zaaktype 'Controle uitvoeren' ingepland, zodat middels een administratieve controle kan worden geverifieerd of het verstrekte advies is opgevolgd door de aanvrager van het advies.</t>
  </si>
  <si>
    <t>Omschrijving generiek</t>
  </si>
  <si>
    <t>Soort betrokkene</t>
  </si>
  <si>
    <t>Mag zetten Statustype</t>
  </si>
  <si>
    <t>Administratief medewerker</t>
  </si>
  <si>
    <t>Behandelaar</t>
  </si>
  <si>
    <t>1 - Zaak gestart
2 - Intake afgerond
6 - Zaak afgerond</t>
  </si>
  <si>
    <t>Adviesaanvrager</t>
  </si>
  <si>
    <t>Initiator</t>
  </si>
  <si>
    <t>Niet-natuurlijk persoon, Vestiging</t>
  </si>
  <si>
    <t>Adviseur</t>
  </si>
  <si>
    <t>Beoordelaar</t>
  </si>
  <si>
    <t>3 - Getoetst op behandelbaarheid
4 - Beoordeling uitgevoerd</t>
  </si>
  <si>
    <t>Zaakverantwoordelijke</t>
  </si>
  <si>
    <t>Beslisser</t>
  </si>
  <si>
    <t>5 - Adviesrapport vastgesteld</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</si>
  <si>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</si>
  <si>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</si>
  <si>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</si>
  <si>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</si>
  <si>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</si>
  <si>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</si>
  <si>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</si>
  <si>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</si>
  <si>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</si>
  <si>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</si>
  <si>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BESLUIT</t>
  </si>
  <si>
    <t>Besluit waarop de zaak betrekking heeft.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</si>
  <si>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</si>
  <si>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</si>
  <si>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</si>
  <si>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</si>
  <si>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</si>
  <si>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</si>
  <si>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</si>
  <si>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</si>
  <si>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</si>
  <si>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</si>
  <si>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</si>
  <si>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</si>
  <si>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</si>
  <si>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</si>
  <si>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</si>
  <si>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</si>
  <si>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</si>
  <si>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</si>
  <si>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</si>
  <si>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</si>
  <si>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</si>
  <si>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</si>
  <si>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</si>
  <si>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</si>
  <si>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</si>
  <si>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</si>
  <si>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</si>
  <si>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</si>
  <si>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</si>
  <si>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</si>
  <si>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</si>
  <si>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</si>
  <si>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</si>
  <si>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</si>
  <si>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</si>
  <si>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</si>
  <si>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</si>
  <si>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</si>
  <si>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</si>
  <si>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</si>
  <si>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</si>
  <si>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</si>
  <si>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</si>
  <si>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</si>
  <si>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</si>
  <si>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</si>
  <si>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</si>
  <si>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</si>
  <si>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</si>
  <si>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</si>
  <si>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</si>
  <si>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</si>
  <si>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</si>
  <si>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</si>
  <si>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</si>
  <si>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</si>
  <si>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</si>
  <si>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</si>
  <si>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</si>
  <si>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</si>
  <si>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de adviesaanvraag betrekking heeft en waarop, indien van toepassing,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</si>
  <si>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</si>
  <si>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</si>
  <si>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</si>
  <si>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</si>
  <si>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</si>
  <si>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</si>
  <si>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</si>
  <si>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</si>
  <si>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</si>
  <si>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</si>
  <si>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</si>
  <si>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</si>
  <si>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</si>
  <si>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</si>
  <si>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</si>
  <si>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</si>
  <si>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</si>
  <si>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</si>
  <si>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</si>
  <si>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</si>
  <si>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</si>
  <si>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</si>
  <si>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</si>
  <si>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Projectnummer</t>
  </si>
  <si>
    <t>Uniek nummer van het project waarop de zaak betrekking heeft.</t>
  </si>
  <si>
    <t>Getal</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</si>
  <si>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</si>
  <si>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Uitkomst beoordeling</t>
  </si>
  <si>
    <t>Het oordeel dat het resultaat is van de beoordeling.</t>
  </si>
  <si>
    <t>Tekst</t>
  </si>
  <si>
    <t>Volgnummer</t>
  </si>
  <si>
    <t>Richting</t>
  </si>
  <si>
    <t>Informatieobjecttype</t>
  </si>
  <si>
    <t>Inkomend</t>
  </si>
  <si>
    <t>Adviesaanvraag</t>
  </si>
  <si>
    <t>Uitgaand</t>
  </si>
  <si>
    <t>Ontvangstbevestiging</t>
  </si>
  <si>
    <t>Aanvullende informatie</t>
  </si>
  <si>
    <t>Intern</t>
  </si>
  <si>
    <t>Procesverantwoording</t>
  </si>
  <si>
    <t>BESLUITTYPE</t>
  </si>
  <si>
    <t>OMSCHRIJVING (2.1)</t>
  </si>
  <si>
    <t>BEVOEGD GEZAG</t>
  </si>
  <si>
    <t>OMSCHRIJVING GENERIEK</t>
  </si>
  <si>
    <t>OMSCHRIJVING (2.2)</t>
  </si>
  <si>
    <t>PROCESOBJECT AARD (2.2)</t>
  </si>
  <si>
    <t>INDICATIE SPECIFIEK (2.2)</t>
  </si>
  <si>
    <t xml:space="preserve"> SELECTIELIJST-KLASSE</t>
  </si>
  <si>
    <t>ARCHIEFNOMINATIE</t>
  </si>
  <si>
    <t>PROCESTERMIJN</t>
  </si>
  <si>
    <t>ARCHIEF-ACTIETERMIJN</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</si>
  <si>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</si>
  <si>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</si>
  <si>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</si>
  <si>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</si>
  <si>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</si>
  <si>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</si>
  <si>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</si>
  <si>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</si>
  <si>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</si>
  <si>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</si>
  <si>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Buiten behandeling</t>
  </si>
  <si>
    <t>gem</t>
  </si>
  <si>
    <t>Niet verstrekt</t>
  </si>
  <si>
    <t>-</t>
  </si>
  <si>
    <t>21.2</t>
  </si>
  <si>
    <t>Vernietigen</t>
  </si>
  <si>
    <t>Afgehandeld</t>
  </si>
  <si>
    <t>Het adviesverzoek is buiten behandeling gesteld.</t>
  </si>
  <si>
    <t>Afgebroken</t>
  </si>
  <si>
    <t>21.3</t>
  </si>
  <si>
    <t>Het adviesverzoek is afgebroken. Deze is foutief ingeboekt, overgedragen aan een ander gezag of door de indiener ingetrokken.</t>
  </si>
  <si>
    <t>Er is geen advies verstrekt.</t>
  </si>
  <si>
    <t>Verstrekt</t>
  </si>
  <si>
    <t>21.1</t>
  </si>
  <si>
    <t>Er is een advies verstrekt.</t>
  </si>
  <si>
    <t>Verstrekt- vrovl</t>
  </si>
  <si>
    <t>vooroverleg omgevingsvergunning</t>
  </si>
  <si>
    <t>21.1.2</t>
  </si>
  <si>
    <t>Een verstrekt advies n.a.v. een vooroverleg omgevingsvergunning.</t>
  </si>
  <si>
    <t>Verstrekt - brand</t>
  </si>
  <si>
    <t>brandveiligheid- en brandpreventieadvies</t>
  </si>
  <si>
    <t>21.1.1</t>
  </si>
  <si>
    <t>Ander datumkenmerk</t>
  </si>
  <si>
    <t>zaakobject</t>
  </si>
  <si>
    <t>sloopdatum</t>
  </si>
  <si>
    <t>pand, verblijfsobject, overig gebouwd object</t>
  </si>
  <si>
    <t>BAG of BGT</t>
  </si>
  <si>
    <t>Brandveiligheid- en brandpreventieadvies. Ingangsdatum vernietigingstermijn: het tijdens het proces vast te leggen datumkenrmerk dat de datum bevat waarop de geldigheid van het procesobject komt te vervallen.</t>
  </si>
  <si>
    <t>pand, verblijfsobject of overig gebouwd object</t>
  </si>
  <si>
    <t>prov</t>
  </si>
  <si>
    <t xml:space="preserve">Niet verstrekt
</t>
  </si>
  <si>
    <t xml:space="preserve">Verstrekt
</t>
  </si>
  <si>
    <t xml:space="preserve">Het adviesverzoek is afgebroken. Deze is foutief ingeboekt,overgedragen aan een ander gezag of door de indiener ingetrokken. </t>
  </si>
  <si>
    <t>ws</t>
  </si>
  <si>
    <t>2.2.2</t>
  </si>
  <si>
    <t>Blijvend bewaren</t>
  </si>
  <si>
    <t>Verstrekt advies watertoets</t>
  </si>
  <si>
    <t>Verstrekt zonder inhoudelijke reactie</t>
  </si>
  <si>
    <t>0.0</t>
  </si>
  <si>
    <t>DEELZAAKTYPE</t>
  </si>
  <si>
    <t>GERELATEERD ZAAKTYPE</t>
  </si>
  <si>
    <t>AARD RELATIE</t>
  </si>
  <si>
    <t>1 - Advies verstrekken</t>
  </si>
  <si>
    <t>Onderwerp</t>
  </si>
  <si>
    <t>De zaak van het zaaktype 'Advies verstrekken' waarin een eerdere adviesbehandeling heeft plaatsgevonden; dit is doorgaans een zaak waarin de adviesaanvraag buiten behandeling is gesteld, omdat de aanvraag niet volledig of aanvaardbaar was.</t>
  </si>
  <si>
    <t>4 - Controle uitvoeren</t>
  </si>
  <si>
    <t>Vervolg</t>
  </si>
  <si>
    <t>De zaak van het zaaktype 'Controle uitvoeren' is ingepland, zodat middels een administratieve controle kan worden geverifieerd of het verstrekte advies is opgevolgd door de aanvrager van het advies.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</si>
</sst>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color theme="1"/>
      <name val="Arial"/>
      <family val="2"/>
    </font>
    <font>
      <b/>
      <sz val="10"/>
      <color theme="1"/>
      <name val="Arial"/>
      <family val="2"/>
    </font>
    <font>
      <b/>
      <sz val="10"/>
      <color rgb="FF3E3F3A"/>
      <name val="Arial"/>
      <family val="2"/>
    </font>
    <font>
      <b/>
      <sz val="10"/>
      <name val="Arial"/>
      <family val="2"/>
    </font>
    <font>
      <sz val="10"/>
      <name val="Arial"/>
      <family val="2"/>
    </font>
    <font>
      <sz val="10"/>
      <color rgb="FF000000"/>
      <name val="Arial"/>
      <family val="2"/>
    </font>
    <font>
      <b/>
      <sz val="10"/>
      <color rgb="FF000000"/>
      <name val="Arial"/>
      <family val="2"/>
    </font>
    <font>
      <sz val="8"/>
      <name val="Liberation Sans"/>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4">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
      <left/>
      <right/>
      <top style="thin">
        <color indexed="64"/>
      </top>
      <bottom style="thin">
        <color indexed="64"/>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41">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19" fillId="0" borderId="0" xfId="0" applyFont="1" applyAlignment="1">
      <alignment horizontal="left" vertical="top"/>
    </xf>
    <xf numFmtId="14" fontId="19" fillId="0" borderId="0" xfId="0" applyNumberFormat="1" applyFont="1" applyAlignment="1">
      <alignment horizontal="left" vertical="top" wrapText="1"/>
    </xf>
    <xf numFmtId="0" fontId="19" fillId="0" borderId="0" xfId="0" quotePrefix="1" applyFont="1" applyAlignment="1">
      <alignment horizontal="left" vertical="top" wrapText="1"/>
    </xf>
    <xf numFmtId="0" fontId="18" fillId="0" borderId="0" xfId="0" quotePrefix="1" applyFont="1" applyAlignment="1">
      <alignment horizontal="left" vertical="top" wrapText="1"/>
    </xf>
    <xf numFmtId="14" fontId="19" fillId="0" borderId="0" xfId="0" applyNumberFormat="1" applyFont="1" applyAlignment="1">
      <alignment horizontal="left" vertical="top"/>
    </xf>
    <xf numFmtId="0" fontId="18" fillId="0" borderId="0" xfId="0" applyFont="1" applyAlignment="1">
      <alignment vertical="top"/>
    </xf>
    <xf numFmtId="0" fontId="19" fillId="0" borderId="0" xfId="0" applyFont="1" applyAlignment="1">
      <alignment vertical="top"/>
    </xf>
    <xf numFmtId="0" fontId="18" fillId="0" borderId="2" xfId="0" applyFont="1" applyBorder="1" applyAlignment="1">
      <alignment vertical="top"/>
    </xf>
    <xf numFmtId="0" fontId="18" fillId="0" borderId="0" xfId="0" applyFont="1" applyAlignment="1">
      <alignment vertical="top" wrapText="1"/>
    </xf>
    <xf numFmtId="0" fontId="19" fillId="0" borderId="2" xfId="0" applyFont="1" applyBorder="1" applyAlignment="1">
      <alignment vertical="top" wrapText="1"/>
    </xf>
    <xf numFmtId="0" fontId="18" fillId="0" borderId="0" xfId="0" quotePrefix="1" applyFont="1" applyAlignment="1">
      <alignment vertical="top" wrapText="1"/>
    </xf>
    <xf numFmtId="0" fontId="19" fillId="0" borderId="0" xfId="0" quotePrefix="1" applyFont="1" applyAlignment="1">
      <alignment vertical="top" wrapText="1"/>
    </xf>
    <xf numFmtId="0" fontId="19" fillId="0" borderId="0" xfId="0" applyFont="1" applyAlignment="1">
      <alignment vertical="top" wrapText="1"/>
    </xf>
    <xf numFmtId="0" fontId="19" fillId="0" borderId="2" xfId="0" quotePrefix="1" applyFont="1" applyBorder="1" applyAlignment="1">
      <alignment vertical="top" wrapText="1"/>
    </xf>
    <xf numFmtId="0" fontId="18" fillId="0" borderId="3" xfId="0" quotePrefix="1" applyFont="1" applyBorder="1" applyAlignment="1">
      <alignment vertical="top" wrapText="1"/>
    </xf>
    <xf numFmtId="0" fontId="18" fillId="0" borderId="3" xfId="0" applyFont="1" applyBorder="1" applyAlignment="1">
      <alignment vertical="top" wrapText="1"/>
    </xf>
    <xf numFmtId="0" fontId="15" fillId="0" borderId="0" xfId="0" applyFont="1"/>
    <xf numFmtId="0" fontId="16" fillId="0" borderId="0" xfId="0" applyFont="1" applyAlignment="1">
      <alignment horizontal="left" vertical="top"/>
    </xf>
    <xf numFmtId="0" fontId="15" fillId="0" borderId="0" xfId="0" applyFont="1" applyAlignment="1">
      <alignment horizontal="left" vertical="top"/>
    </xf>
    <xf numFmtId="0" fontId="21" fillId="0" borderId="0" xfId="0" applyFont="1"/>
    <xf numFmtId="0" fontId="20" fillId="0" borderId="0" xfId="0" applyFont="1"/>
    <xf numFmtId="0" fontId="21" fillId="0" borderId="0" xfId="0" applyFont="1" applyAlignment="1">
      <alignment vertical="top" wrapText="1"/>
    </xf>
    <xf numFmtId="0" fontId="20" fillId="0" borderId="0" xfId="0" applyFont="1" applyAlignment="1">
      <alignment wrapText="1"/>
    </xf>
    <xf numFmtId="0" fontId="18" fillId="0" borderId="0" xfId="0" applyFont="1" applyAlignment="1">
      <alignment horizontal="left" vertical="top"/>
    </xf>
    <xf numFmtId="0" fontId="16" fillId="0" borderId="0" xfId="0" applyFont="1" applyAlignment="1">
      <alignment vertical="top"/>
    </xf>
    <xf numFmtId="0" fontId="15" fillId="0" borderId="0" xfId="0" applyFont="1" applyAlignment="1">
      <alignment vertical="top" wrapText="1"/>
    </xf>
    <xf numFmtId="0" fontId="19" fillId="0" borderId="3" xfId="0" applyFont="1" applyBorder="1" applyAlignment="1">
      <alignment vertical="top" wrapText="1"/>
    </xf>
    <xf numFmtId="0" fontId="19" fillId="0" borderId="0" xfId="0" applyFont="1"/>
    <xf numFmtId="0" fontId="15" fillId="0" borderId="0" xfId="0" applyFont="1" applyAlignment="1">
      <alignment vertical="top"/>
    </xf>
    <xf numFmtId="0" fontId="19" fillId="0" borderId="0" xfId="0" applyFont="1" applyAlignment="1">
      <alignment wrapText="1"/>
    </xf>
    <xf numFmtId="14" fontId="20" fillId="0" borderId="0" xfId="0" applyNumberFormat="1" applyFont="1" applyAlignment="1">
      <alignment horizontal="left" vertical="top"/>
    </xf>
    <xf numFmtId="0" fontId="18" fillId="0" borderId="0" xfId="0" applyFont="1" applyFill="1" applyAlignment="1">
      <alignment horizontal="left" vertical="top"/>
    </xf>
    <xf numFmtId="0" fontId="19" fillId="0" borderId="0" xfId="0" applyFont="1" applyFill="1" applyAlignment="1">
      <alignment horizontal="left" vertical="top"/>
    </xf>
    <xf numFmtId="0" fontId="18" fillId="0" borderId="0" xfId="0" applyFont="1" applyFill="1" applyAlignment="1">
      <alignment horizontal="left" vertical="top" wrapText="1"/>
    </xf>
    <xf numFmtId="0" fontId="19" fillId="0" borderId="0" xfId="0" applyFont="1" applyFill="1" applyAlignment="1">
      <alignment horizontal="left" vertical="top" wrapText="1"/>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omgevingswet.wiki/bin/view/Zaaktypecatalogi/CAT_97oa2kKoeuKy8/zaaktype/ZKT_jBGQ2eaGnSBpg/statustype/STT_6lKXwaPK1snWe/" TargetMode="External"/><Relationship Id="rId2" Type="http://schemas.openxmlformats.org/officeDocument/2006/relationships/hyperlink" Target="https://omgevingswet.wiki/bin/view/Zaaktypecatalogi/CAT_97oa2kKoeuKy8/zaaktype/ZKT_jBGQ2eaGnSBpg/statustype/STT_ERkw5gpk0t0bO/" TargetMode="External"/><Relationship Id="rId1" Type="http://schemas.openxmlformats.org/officeDocument/2006/relationships/hyperlink" Target="https://omgevingswet.wiki/bin/view/Zaaktypecatalogi/CAT_97oa2kKoeuKy8/zaaktype/ZKT_jBGQ2eaGnSBpg/statustype/STT_9dRYg8bR4uOgW/" TargetMode="External"/><Relationship Id="rId6" Type="http://schemas.openxmlformats.org/officeDocument/2006/relationships/hyperlink" Target="https://omgevingswet.wiki/bin/view/Zaaktypecatalogi/CAT_97oa2kKoeuKy8/zaaktype/ZKT_jBGQ2eaGnSBpg/statustype/STT_E4xP2BkxXsOnE/" TargetMode="External"/><Relationship Id="rId5" Type="http://schemas.openxmlformats.org/officeDocument/2006/relationships/hyperlink" Target="https://omgevingswet.wiki/bin/view/Zaaktypecatalogi/CAT_97oa2kKoeuKy8/zaaktype/ZKT_jBGQ2eaGnSBpg/statustype/STT_jepzDxGpvfp3R/" TargetMode="External"/><Relationship Id="rId4" Type="http://schemas.openxmlformats.org/officeDocument/2006/relationships/hyperlink" Target="https://omgevingswet.wiki/bin/view/Zaaktypecatalogi/CAT_97oa2kKoeuKy8/zaaktype/ZKT_jBGQ2eaGnSBpg/statustype/STT_6lKXwaPK1swb9/"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H49"/>
  <sheetViews>
    <sheetView tabSelected="1" zoomScaleNormal="100" workbookViewId="0">
      <pane xSplit="1" ySplit="1" topLeftCell="B2" activePane="bottomRight" state="frozen"/>
      <selection pane="topRight" activeCell="B3" sqref="B3"/>
      <selection pane="bottomLeft" activeCell="B3" sqref="B3"/>
      <selection pane="bottomRight" activeCell="B2" sqref="B2"/>
    </sheetView>
  </sheetViews>
  <sheetFormatPr defaultColWidth="8.625" defaultRowHeight="12.75" x14ac:dyDescent="0.2"/>
  <cols>
    <col min="1" max="1" width="50.125" style="6" customWidth="1"/>
    <col min="2" max="1022" width="78.125" style="6" customWidth="1"/>
    <col min="1023" max="16384" width="8.625" style="33"/>
  </cols>
  <sheetData>
    <row r="1" spans="1:2" x14ac:dyDescent="0.2">
      <c r="A1" s="29" t="s">
        <v>0</v>
      </c>
      <c r="B1" s="29" t="s">
        <v>1</v>
      </c>
    </row>
    <row r="2" spans="1:2" x14ac:dyDescent="0.2">
      <c r="A2" s="4" t="s">
        <v>2</v>
      </c>
      <c r="B2" s="4">
        <v>1</v>
      </c>
    </row>
    <row r="3" spans="1:2" x14ac:dyDescent="0.2">
      <c r="A3" s="4" t="s">
        <v>3</v>
      </c>
      <c r="B3" s="4" t="s">
        <v>4</v>
      </c>
    </row>
    <row r="4" spans="1:2" x14ac:dyDescent="0.2">
      <c r="A4" s="4" t="s">
        <v>5</v>
      </c>
      <c r="B4" s="5" t="s">
        <v>6</v>
      </c>
    </row>
    <row r="5" spans="1:2" ht="89.25" x14ac:dyDescent="0.2">
      <c r="A5" s="4" t="s">
        <v>7</v>
      </c>
      <c r="B5" s="5" t="s">
        <v>8</v>
      </c>
    </row>
    <row r="6" spans="1:2" ht="76.5" customHeight="1" x14ac:dyDescent="0.2">
      <c r="A6" s="4" t="s">
        <v>9</v>
      </c>
      <c r="B6" s="5" t="s">
        <v>10</v>
      </c>
    </row>
    <row r="7" spans="1:2" ht="191.25" x14ac:dyDescent="0.2">
      <c r="A7" s="4" t="s">
        <v>11</v>
      </c>
      <c r="B7" s="5" t="s">
        <v>12</v>
      </c>
    </row>
    <row r="8" spans="1:2" x14ac:dyDescent="0.2">
      <c r="A8" s="4" t="s">
        <v>13</v>
      </c>
      <c r="B8" s="5" t="s">
        <v>14</v>
      </c>
    </row>
    <row r="9" spans="1:2" x14ac:dyDescent="0.2">
      <c r="A9" s="4" t="s">
        <v>15</v>
      </c>
      <c r="B9" s="5" t="s">
        <v>16</v>
      </c>
    </row>
    <row r="10" spans="1:2" x14ac:dyDescent="0.2">
      <c r="A10" s="4" t="s">
        <v>17</v>
      </c>
      <c r="B10" s="5" t="s">
        <v>18</v>
      </c>
    </row>
    <row r="11" spans="1:2" x14ac:dyDescent="0.2">
      <c r="A11" s="4" t="s">
        <v>19</v>
      </c>
      <c r="B11" s="5" t="s">
        <v>20</v>
      </c>
    </row>
    <row r="12" spans="1:2" x14ac:dyDescent="0.2">
      <c r="A12" s="4" t="s">
        <v>21</v>
      </c>
      <c r="B12" s="5">
        <v>28</v>
      </c>
    </row>
    <row r="13" spans="1:2" x14ac:dyDescent="0.2">
      <c r="A13" s="8" t="s">
        <v>22</v>
      </c>
      <c r="B13" s="5" t="s">
        <v>23</v>
      </c>
    </row>
    <row r="14" spans="1:2" x14ac:dyDescent="0.2">
      <c r="A14" s="8" t="s">
        <v>24</v>
      </c>
      <c r="B14" s="8" t="s">
        <v>25</v>
      </c>
    </row>
    <row r="15" spans="1:2" x14ac:dyDescent="0.2">
      <c r="A15" s="4" t="s">
        <v>26</v>
      </c>
      <c r="B15" s="5">
        <v>14</v>
      </c>
    </row>
    <row r="16" spans="1:2" x14ac:dyDescent="0.2">
      <c r="A16" s="8" t="s">
        <v>22</v>
      </c>
      <c r="B16" s="5" t="s">
        <v>23</v>
      </c>
    </row>
    <row r="17" spans="1:2" x14ac:dyDescent="0.2">
      <c r="A17" s="8" t="s">
        <v>24</v>
      </c>
      <c r="B17" s="8" t="s">
        <v>27</v>
      </c>
    </row>
    <row r="18" spans="1:2" x14ac:dyDescent="0.2">
      <c r="A18" s="4" t="s">
        <v>28</v>
      </c>
      <c r="B18" s="5" t="s">
        <v>29</v>
      </c>
    </row>
    <row r="19" spans="1:2" x14ac:dyDescent="0.2">
      <c r="A19" s="4" t="s">
        <v>30</v>
      </c>
      <c r="B19" s="5" t="s">
        <v>31</v>
      </c>
    </row>
    <row r="20" spans="1:2" x14ac:dyDescent="0.2">
      <c r="A20" s="4" t="s">
        <v>32</v>
      </c>
    </row>
    <row r="21" spans="1:2" x14ac:dyDescent="0.2">
      <c r="A21" s="4" t="s">
        <v>33</v>
      </c>
    </row>
    <row r="22" spans="1:2" x14ac:dyDescent="0.2">
      <c r="A22" s="4" t="s">
        <v>34</v>
      </c>
      <c r="B22" s="5" t="s">
        <v>35</v>
      </c>
    </row>
    <row r="23" spans="1:2" x14ac:dyDescent="0.2">
      <c r="A23" s="4" t="s">
        <v>36</v>
      </c>
    </row>
    <row r="24" spans="1:2" x14ac:dyDescent="0.2">
      <c r="A24" s="4" t="s">
        <v>37</v>
      </c>
      <c r="B24" s="5" t="s">
        <v>29</v>
      </c>
    </row>
    <row r="25" spans="1:2" x14ac:dyDescent="0.2">
      <c r="A25" s="4" t="s">
        <v>38</v>
      </c>
    </row>
    <row r="26" spans="1:2" x14ac:dyDescent="0.2">
      <c r="A26" s="4" t="s">
        <v>39</v>
      </c>
    </row>
    <row r="27" spans="1:2" ht="409.5" x14ac:dyDescent="0.2">
      <c r="A27" s="9" t="s">
        <v>40</v>
      </c>
      <c r="B27" s="5" t="s">
        <v>41</v>
      </c>
    </row>
    <row r="28" spans="1:2" x14ac:dyDescent="0.2">
      <c r="A28" s="9" t="s">
        <v>42</v>
      </c>
      <c r="B28" s="5"/>
    </row>
    <row r="29" spans="1:2" x14ac:dyDescent="0.2">
      <c r="A29" s="9" t="s">
        <v>43</v>
      </c>
      <c r="B29" s="5"/>
    </row>
    <row r="30" spans="1:2" x14ac:dyDescent="0.2">
      <c r="A30" s="9" t="s">
        <v>40</v>
      </c>
    </row>
    <row r="31" spans="1:2" x14ac:dyDescent="0.2">
      <c r="A31" s="9" t="s">
        <v>42</v>
      </c>
    </row>
    <row r="32" spans="1:2" x14ac:dyDescent="0.2">
      <c r="A32" s="5" t="s">
        <v>44</v>
      </c>
    </row>
    <row r="33" spans="1:2" x14ac:dyDescent="0.2">
      <c r="A33" s="5" t="s">
        <v>45</v>
      </c>
    </row>
    <row r="34" spans="1:2" x14ac:dyDescent="0.2">
      <c r="A34" s="8" t="s">
        <v>46</v>
      </c>
    </row>
    <row r="35" spans="1:2" x14ac:dyDescent="0.2">
      <c r="A35" s="9" t="s">
        <v>47</v>
      </c>
    </row>
    <row r="36" spans="1:2" x14ac:dyDescent="0.2">
      <c r="A36" s="8" t="s">
        <v>48</v>
      </c>
    </row>
    <row r="37" spans="1:2" x14ac:dyDescent="0.2">
      <c r="A37" s="8" t="s">
        <v>49</v>
      </c>
    </row>
    <row r="38" spans="1:2" x14ac:dyDescent="0.2">
      <c r="A38" s="8" t="s">
        <v>40</v>
      </c>
    </row>
    <row r="39" spans="1:2" x14ac:dyDescent="0.2">
      <c r="A39" s="8" t="s">
        <v>50</v>
      </c>
    </row>
    <row r="40" spans="1:2" x14ac:dyDescent="0.2">
      <c r="A40" s="8" t="s">
        <v>51</v>
      </c>
    </row>
    <row r="41" spans="1:2" x14ac:dyDescent="0.2">
      <c r="A41" s="8" t="s">
        <v>52</v>
      </c>
    </row>
    <row r="42" spans="1:2" x14ac:dyDescent="0.2">
      <c r="A42" s="4" t="s">
        <v>53</v>
      </c>
    </row>
    <row r="43" spans="1:2" x14ac:dyDescent="0.2">
      <c r="A43" s="4" t="s">
        <v>54</v>
      </c>
      <c r="B43" s="36">
        <v>45849</v>
      </c>
    </row>
    <row r="44" spans="1:2" x14ac:dyDescent="0.2">
      <c r="A44" s="4" t="s">
        <v>55</v>
      </c>
      <c r="B44" s="10">
        <v>43800</v>
      </c>
    </row>
    <row r="45" spans="1:2" x14ac:dyDescent="0.2">
      <c r="A45" s="4" t="s">
        <v>56</v>
      </c>
    </row>
    <row r="46" spans="1:2" x14ac:dyDescent="0.2">
      <c r="A46" s="4"/>
    </row>
    <row r="47" spans="1:2" x14ac:dyDescent="0.2">
      <c r="A47" s="4"/>
    </row>
    <row r="48" spans="1:2" x14ac:dyDescent="0.2">
      <c r="A48" s="4"/>
    </row>
    <row r="49" spans="1:1" x14ac:dyDescent="0.2">
      <c r="A49" s="4"/>
    </row>
  </sheetData>
  <pageMargins left="0" right="0" top="0.39370078740157483" bottom="0.39370078740157483" header="0" footer="0"/>
  <pageSetup paperSize="9" orientation="portrait" horizontalDpi="4294967293" r:id="rId1"/>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L8"/>
  <sheetViews>
    <sheetView zoomScale="85" zoomScaleNormal="85" workbookViewId="0">
      <pane xSplit="2" ySplit="2" topLeftCell="C3" activePane="bottomRight" state="frozen"/>
      <selection pane="topRight" activeCell="B6" sqref="A1:XFD1048576"/>
      <selection pane="bottomLeft" activeCell="B6" sqref="A1:XFD1048576"/>
      <selection pane="bottomRight" activeCell="G4" sqref="G4"/>
    </sheetView>
  </sheetViews>
  <sheetFormatPr defaultColWidth="8.625" defaultRowHeight="12.75" x14ac:dyDescent="0.2"/>
  <cols>
    <col min="1" max="1" width="7.125" style="5" customWidth="1"/>
    <col min="2" max="2" width="29.375" style="5" customWidth="1"/>
    <col min="3" max="4" width="13.5" style="5" customWidth="1"/>
    <col min="5" max="6" width="12.875" style="5" customWidth="1"/>
    <col min="7" max="7" width="44.125" style="5" customWidth="1"/>
    <col min="8" max="10" width="29.375" style="5" customWidth="1"/>
    <col min="11" max="11" width="12.625" style="5" customWidth="1"/>
    <col min="12" max="1026" width="29.375" style="5" customWidth="1"/>
    <col min="1027" max="16384" width="8.625" style="35"/>
  </cols>
  <sheetData>
    <row r="1" spans="1:1026" s="33" customFormat="1" x14ac:dyDescent="0.2">
      <c r="A1" s="29" t="str">
        <f>CONCATENATE("Statussen bij zaaktype ",Zaaktype!B2,": ",Zaaktype!B3)</f>
        <v>Statussen bij zaaktype 1: Advies verstrekken</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c r="JW1" s="6"/>
      <c r="JX1" s="6"/>
      <c r="JY1" s="6"/>
      <c r="JZ1" s="6"/>
      <c r="KA1" s="6"/>
      <c r="KB1" s="6"/>
      <c r="KC1" s="6"/>
      <c r="KD1" s="6"/>
      <c r="KE1" s="6"/>
      <c r="KF1" s="6"/>
      <c r="KG1" s="6"/>
      <c r="KH1" s="6"/>
      <c r="KI1" s="6"/>
      <c r="KJ1" s="6"/>
      <c r="KK1" s="6"/>
      <c r="KL1" s="6"/>
      <c r="KM1" s="6"/>
      <c r="KN1" s="6"/>
      <c r="KO1" s="6"/>
      <c r="KP1" s="6"/>
      <c r="KQ1" s="6"/>
      <c r="KR1" s="6"/>
      <c r="KS1" s="6"/>
      <c r="KT1" s="6"/>
      <c r="KU1" s="6"/>
      <c r="KV1" s="6"/>
      <c r="KW1" s="6"/>
      <c r="KX1" s="6"/>
      <c r="KY1" s="6"/>
      <c r="KZ1" s="6"/>
      <c r="LA1" s="6"/>
      <c r="LB1" s="6"/>
      <c r="LC1" s="6"/>
      <c r="LD1" s="6"/>
      <c r="LE1" s="6"/>
      <c r="LF1" s="6"/>
      <c r="LG1" s="6"/>
      <c r="LH1" s="6"/>
      <c r="LI1" s="6"/>
      <c r="LJ1" s="6"/>
      <c r="LK1" s="6"/>
      <c r="LL1" s="6"/>
      <c r="LM1" s="6"/>
      <c r="LN1" s="6"/>
      <c r="LO1" s="6"/>
      <c r="LP1" s="6"/>
      <c r="LQ1" s="6"/>
      <c r="LR1" s="6"/>
      <c r="LS1" s="6"/>
      <c r="LT1" s="6"/>
      <c r="LU1" s="6"/>
      <c r="LV1" s="6"/>
      <c r="LW1" s="6"/>
      <c r="LX1" s="6"/>
      <c r="LY1" s="6"/>
      <c r="LZ1" s="6"/>
      <c r="MA1" s="6"/>
      <c r="MB1" s="6"/>
      <c r="MC1" s="6"/>
      <c r="MD1" s="6"/>
      <c r="ME1" s="6"/>
      <c r="MF1" s="6"/>
      <c r="MG1" s="6"/>
      <c r="MH1" s="6"/>
      <c r="MI1" s="6"/>
      <c r="MJ1" s="6"/>
      <c r="MK1" s="6"/>
      <c r="ML1" s="6"/>
      <c r="MM1" s="6"/>
      <c r="MN1" s="6"/>
      <c r="MO1" s="6"/>
      <c r="MP1" s="6"/>
      <c r="MQ1" s="6"/>
      <c r="MR1" s="6"/>
      <c r="MS1" s="6"/>
      <c r="MT1" s="6"/>
      <c r="MU1" s="6"/>
      <c r="MV1" s="6"/>
      <c r="MW1" s="6"/>
      <c r="MX1" s="6"/>
      <c r="MY1" s="6"/>
      <c r="MZ1" s="6"/>
      <c r="NA1" s="6"/>
      <c r="NB1" s="6"/>
      <c r="NC1" s="6"/>
      <c r="ND1" s="6"/>
      <c r="NE1" s="6"/>
      <c r="NF1" s="6"/>
      <c r="NG1" s="6"/>
      <c r="NH1" s="6"/>
      <c r="NI1" s="6"/>
      <c r="NJ1" s="6"/>
      <c r="NK1" s="6"/>
      <c r="NL1" s="6"/>
      <c r="NM1" s="6"/>
      <c r="NN1" s="6"/>
      <c r="NO1" s="6"/>
      <c r="NP1" s="6"/>
      <c r="NQ1" s="6"/>
      <c r="NR1" s="6"/>
      <c r="NS1" s="6"/>
      <c r="NT1" s="6"/>
      <c r="NU1" s="6"/>
      <c r="NV1" s="6"/>
      <c r="NW1" s="6"/>
      <c r="NX1" s="6"/>
      <c r="NY1" s="6"/>
      <c r="NZ1" s="6"/>
      <c r="OA1" s="6"/>
      <c r="OB1" s="6"/>
      <c r="OC1" s="6"/>
      <c r="OD1" s="6"/>
      <c r="OE1" s="6"/>
      <c r="OF1" s="6"/>
      <c r="OG1" s="6"/>
      <c r="OH1" s="6"/>
      <c r="OI1" s="6"/>
      <c r="OJ1" s="6"/>
      <c r="OK1" s="6"/>
      <c r="OL1" s="6"/>
      <c r="OM1" s="6"/>
      <c r="ON1" s="6"/>
      <c r="OO1" s="6"/>
      <c r="OP1" s="6"/>
      <c r="OQ1" s="6"/>
      <c r="OR1" s="6"/>
      <c r="OS1" s="6"/>
      <c r="OT1" s="6"/>
      <c r="OU1" s="6"/>
      <c r="OV1" s="6"/>
      <c r="OW1" s="6"/>
      <c r="OX1" s="6"/>
      <c r="OY1" s="6"/>
      <c r="OZ1" s="6"/>
      <c r="PA1" s="6"/>
      <c r="PB1" s="6"/>
      <c r="PC1" s="6"/>
      <c r="PD1" s="6"/>
      <c r="PE1" s="6"/>
      <c r="PF1" s="6"/>
      <c r="PG1" s="6"/>
      <c r="PH1" s="6"/>
      <c r="PI1" s="6"/>
      <c r="PJ1" s="6"/>
      <c r="PK1" s="6"/>
      <c r="PL1" s="6"/>
      <c r="PM1" s="6"/>
      <c r="PN1" s="6"/>
      <c r="PO1" s="6"/>
      <c r="PP1" s="6"/>
      <c r="PQ1" s="6"/>
      <c r="PR1" s="6"/>
      <c r="PS1" s="6"/>
      <c r="PT1" s="6"/>
      <c r="PU1" s="6"/>
      <c r="PV1" s="6"/>
      <c r="PW1" s="6"/>
      <c r="PX1" s="6"/>
      <c r="PY1" s="6"/>
      <c r="PZ1" s="6"/>
      <c r="QA1" s="6"/>
      <c r="QB1" s="6"/>
      <c r="QC1" s="6"/>
      <c r="QD1" s="6"/>
      <c r="QE1" s="6"/>
      <c r="QF1" s="6"/>
      <c r="QG1" s="6"/>
      <c r="QH1" s="6"/>
      <c r="QI1" s="6"/>
      <c r="QJ1" s="6"/>
      <c r="QK1" s="6"/>
      <c r="QL1" s="6"/>
      <c r="QM1" s="6"/>
      <c r="QN1" s="6"/>
      <c r="QO1" s="6"/>
      <c r="QP1" s="6"/>
      <c r="QQ1" s="6"/>
      <c r="QR1" s="6"/>
      <c r="QS1" s="6"/>
      <c r="QT1" s="6"/>
      <c r="QU1" s="6"/>
      <c r="QV1" s="6"/>
      <c r="QW1" s="6"/>
      <c r="QX1" s="6"/>
      <c r="QY1" s="6"/>
      <c r="QZ1" s="6"/>
      <c r="RA1" s="6"/>
      <c r="RB1" s="6"/>
      <c r="RC1" s="6"/>
      <c r="RD1" s="6"/>
      <c r="RE1" s="6"/>
      <c r="RF1" s="6"/>
      <c r="RG1" s="6"/>
      <c r="RH1" s="6"/>
      <c r="RI1" s="6"/>
      <c r="RJ1" s="6"/>
      <c r="RK1" s="6"/>
      <c r="RL1" s="6"/>
      <c r="RM1" s="6"/>
      <c r="RN1" s="6"/>
      <c r="RO1" s="6"/>
      <c r="RP1" s="6"/>
      <c r="RQ1" s="6"/>
      <c r="RR1" s="6"/>
      <c r="RS1" s="6"/>
      <c r="RT1" s="6"/>
      <c r="RU1" s="6"/>
      <c r="RV1" s="6"/>
      <c r="RW1" s="6"/>
      <c r="RX1" s="6"/>
      <c r="RY1" s="6"/>
      <c r="RZ1" s="6"/>
      <c r="SA1" s="6"/>
      <c r="SB1" s="6"/>
      <c r="SC1" s="6"/>
      <c r="SD1" s="6"/>
      <c r="SE1" s="6"/>
      <c r="SF1" s="6"/>
      <c r="SG1" s="6"/>
      <c r="SH1" s="6"/>
      <c r="SI1" s="6"/>
      <c r="SJ1" s="6"/>
      <c r="SK1" s="6"/>
      <c r="SL1" s="6"/>
      <c r="SM1" s="6"/>
      <c r="SN1" s="6"/>
      <c r="SO1" s="6"/>
      <c r="SP1" s="6"/>
      <c r="SQ1" s="6"/>
      <c r="SR1" s="6"/>
      <c r="SS1" s="6"/>
      <c r="ST1" s="6"/>
      <c r="SU1" s="6"/>
      <c r="SV1" s="6"/>
      <c r="SW1" s="6"/>
      <c r="SX1" s="6"/>
      <c r="SY1" s="6"/>
      <c r="SZ1" s="6"/>
      <c r="TA1" s="6"/>
      <c r="TB1" s="6"/>
      <c r="TC1" s="6"/>
      <c r="TD1" s="6"/>
      <c r="TE1" s="6"/>
      <c r="TF1" s="6"/>
      <c r="TG1" s="6"/>
      <c r="TH1" s="6"/>
      <c r="TI1" s="6"/>
      <c r="TJ1" s="6"/>
      <c r="TK1" s="6"/>
      <c r="TL1" s="6"/>
      <c r="TM1" s="6"/>
      <c r="TN1" s="6"/>
      <c r="TO1" s="6"/>
      <c r="TP1" s="6"/>
      <c r="TQ1" s="6"/>
      <c r="TR1" s="6"/>
      <c r="TS1" s="6"/>
      <c r="TT1" s="6"/>
      <c r="TU1" s="6"/>
      <c r="TV1" s="6"/>
      <c r="TW1" s="6"/>
      <c r="TX1" s="6"/>
      <c r="TY1" s="6"/>
      <c r="TZ1" s="6"/>
      <c r="UA1" s="6"/>
      <c r="UB1" s="6"/>
      <c r="UC1" s="6"/>
      <c r="UD1" s="6"/>
      <c r="UE1" s="6"/>
      <c r="UF1" s="6"/>
      <c r="UG1" s="6"/>
      <c r="UH1" s="6"/>
      <c r="UI1" s="6"/>
      <c r="UJ1" s="6"/>
      <c r="UK1" s="6"/>
      <c r="UL1" s="6"/>
      <c r="UM1" s="6"/>
      <c r="UN1" s="6"/>
      <c r="UO1" s="6"/>
      <c r="UP1" s="6"/>
      <c r="UQ1" s="6"/>
      <c r="UR1" s="6"/>
      <c r="US1" s="6"/>
      <c r="UT1" s="6"/>
      <c r="UU1" s="6"/>
      <c r="UV1" s="6"/>
      <c r="UW1" s="6"/>
      <c r="UX1" s="6"/>
      <c r="UY1" s="6"/>
      <c r="UZ1" s="6"/>
      <c r="VA1" s="6"/>
      <c r="VB1" s="6"/>
      <c r="VC1" s="6"/>
      <c r="VD1" s="6"/>
      <c r="VE1" s="6"/>
      <c r="VF1" s="6"/>
      <c r="VG1" s="6"/>
      <c r="VH1" s="6"/>
      <c r="VI1" s="6"/>
      <c r="VJ1" s="6"/>
      <c r="VK1" s="6"/>
      <c r="VL1" s="6"/>
      <c r="VM1" s="6"/>
      <c r="VN1" s="6"/>
      <c r="VO1" s="6"/>
      <c r="VP1" s="6"/>
      <c r="VQ1" s="6"/>
      <c r="VR1" s="6"/>
      <c r="VS1" s="6"/>
      <c r="VT1" s="6"/>
      <c r="VU1" s="6"/>
      <c r="VV1" s="6"/>
      <c r="VW1" s="6"/>
      <c r="VX1" s="6"/>
      <c r="VY1" s="6"/>
      <c r="VZ1" s="6"/>
      <c r="WA1" s="6"/>
      <c r="WB1" s="6"/>
      <c r="WC1" s="6"/>
      <c r="WD1" s="6"/>
      <c r="WE1" s="6"/>
      <c r="WF1" s="6"/>
      <c r="WG1" s="6"/>
      <c r="WH1" s="6"/>
      <c r="WI1" s="6"/>
      <c r="WJ1" s="6"/>
      <c r="WK1" s="6"/>
      <c r="WL1" s="6"/>
      <c r="WM1" s="6"/>
      <c r="WN1" s="6"/>
      <c r="WO1" s="6"/>
      <c r="WP1" s="6"/>
      <c r="WQ1" s="6"/>
      <c r="WR1" s="6"/>
      <c r="WS1" s="6"/>
      <c r="WT1" s="6"/>
      <c r="WU1" s="6"/>
      <c r="WV1" s="6"/>
      <c r="WW1" s="6"/>
      <c r="WX1" s="6"/>
      <c r="WY1" s="6"/>
      <c r="WZ1" s="6"/>
      <c r="XA1" s="6"/>
      <c r="XB1" s="6"/>
      <c r="XC1" s="6"/>
      <c r="XD1" s="6"/>
      <c r="XE1" s="6"/>
      <c r="XF1" s="6"/>
      <c r="XG1" s="6"/>
      <c r="XH1" s="6"/>
      <c r="XI1" s="6"/>
      <c r="XJ1" s="6"/>
      <c r="XK1" s="6"/>
      <c r="XL1" s="6"/>
      <c r="XM1" s="6"/>
      <c r="XN1" s="6"/>
      <c r="XO1" s="6"/>
      <c r="XP1" s="6"/>
      <c r="XQ1" s="6"/>
      <c r="XR1" s="6"/>
      <c r="XS1" s="6"/>
      <c r="XT1" s="6"/>
      <c r="XU1" s="6"/>
      <c r="XV1" s="6"/>
      <c r="XW1" s="6"/>
      <c r="XX1" s="6"/>
      <c r="XY1" s="6"/>
      <c r="XZ1" s="6"/>
      <c r="YA1" s="6"/>
      <c r="YB1" s="6"/>
      <c r="YC1" s="6"/>
      <c r="YD1" s="6"/>
      <c r="YE1" s="6"/>
      <c r="YF1" s="6"/>
      <c r="YG1" s="6"/>
      <c r="YH1" s="6"/>
      <c r="YI1" s="6"/>
      <c r="YJ1" s="6"/>
      <c r="YK1" s="6"/>
      <c r="YL1" s="6"/>
      <c r="YM1" s="6"/>
      <c r="YN1" s="6"/>
      <c r="YO1" s="6"/>
      <c r="YP1" s="6"/>
      <c r="YQ1" s="6"/>
      <c r="YR1" s="6"/>
      <c r="YS1" s="6"/>
      <c r="YT1" s="6"/>
      <c r="YU1" s="6"/>
      <c r="YV1" s="6"/>
      <c r="YW1" s="6"/>
      <c r="YX1" s="6"/>
      <c r="YY1" s="6"/>
      <c r="YZ1" s="6"/>
      <c r="ZA1" s="6"/>
      <c r="ZB1" s="6"/>
      <c r="ZC1" s="6"/>
      <c r="ZD1" s="6"/>
      <c r="ZE1" s="6"/>
      <c r="ZF1" s="6"/>
      <c r="ZG1" s="6"/>
      <c r="ZH1" s="6"/>
      <c r="ZI1" s="6"/>
      <c r="ZJ1" s="6"/>
      <c r="ZK1" s="6"/>
      <c r="ZL1" s="6"/>
      <c r="ZM1" s="6"/>
      <c r="ZN1" s="6"/>
      <c r="ZO1" s="6"/>
      <c r="ZP1" s="6"/>
      <c r="ZQ1" s="6"/>
      <c r="ZR1" s="6"/>
      <c r="ZS1" s="6"/>
      <c r="ZT1" s="6"/>
      <c r="ZU1" s="6"/>
      <c r="ZV1" s="6"/>
      <c r="ZW1" s="6"/>
      <c r="ZX1" s="6"/>
      <c r="ZY1" s="6"/>
      <c r="ZZ1" s="6"/>
      <c r="AAA1" s="6"/>
      <c r="AAB1" s="6"/>
      <c r="AAC1" s="6"/>
      <c r="AAD1" s="6"/>
      <c r="AAE1" s="6"/>
      <c r="AAF1" s="6"/>
      <c r="AAG1" s="6"/>
      <c r="AAH1" s="6"/>
      <c r="AAI1" s="6"/>
      <c r="AAJ1" s="6"/>
      <c r="AAK1" s="6"/>
      <c r="AAL1" s="6"/>
      <c r="AAM1" s="6"/>
      <c r="AAN1" s="6"/>
      <c r="AAO1" s="6"/>
      <c r="AAP1" s="6"/>
      <c r="AAQ1" s="6"/>
      <c r="AAR1" s="6"/>
      <c r="AAS1" s="6"/>
      <c r="AAT1" s="6"/>
      <c r="AAU1" s="6"/>
      <c r="AAV1" s="6"/>
      <c r="AAW1" s="6"/>
      <c r="AAX1" s="6"/>
      <c r="AAY1" s="6"/>
      <c r="AAZ1" s="6"/>
      <c r="ABA1" s="6"/>
      <c r="ABB1" s="6"/>
      <c r="ABC1" s="6"/>
      <c r="ABD1" s="6"/>
      <c r="ABE1" s="6"/>
      <c r="ABF1" s="6"/>
      <c r="ABG1" s="6"/>
      <c r="ABH1" s="6"/>
      <c r="ABI1" s="6"/>
      <c r="ABJ1" s="6"/>
      <c r="ABK1" s="6"/>
      <c r="ABL1" s="6"/>
      <c r="ABM1" s="6"/>
      <c r="ABN1" s="6"/>
      <c r="ABO1" s="6"/>
      <c r="ABP1" s="6"/>
      <c r="ABQ1" s="6"/>
      <c r="ABR1" s="6"/>
      <c r="ABS1" s="6"/>
      <c r="ABT1" s="6"/>
      <c r="ABU1" s="6"/>
      <c r="ABV1" s="6"/>
      <c r="ABW1" s="6"/>
      <c r="ABX1" s="6"/>
      <c r="ABY1" s="6"/>
      <c r="ABZ1" s="6"/>
      <c r="ACA1" s="6"/>
      <c r="ACB1" s="6"/>
      <c r="ACC1" s="6"/>
      <c r="ACD1" s="6"/>
      <c r="ACE1" s="6"/>
      <c r="ACF1" s="6"/>
      <c r="ACG1" s="6"/>
      <c r="ACH1" s="6"/>
      <c r="ACI1" s="6"/>
      <c r="ACJ1" s="6"/>
      <c r="ACK1" s="6"/>
      <c r="ACL1" s="6"/>
      <c r="ACM1" s="6"/>
      <c r="ACN1" s="6"/>
      <c r="ACO1" s="6"/>
      <c r="ACP1" s="6"/>
      <c r="ACQ1" s="6"/>
      <c r="ACR1" s="6"/>
      <c r="ACS1" s="6"/>
      <c r="ACT1" s="6"/>
      <c r="ACU1" s="6"/>
      <c r="ACV1" s="6"/>
      <c r="ACW1" s="6"/>
      <c r="ACX1" s="6"/>
      <c r="ACY1" s="6"/>
      <c r="ACZ1" s="6"/>
      <c r="ADA1" s="6"/>
      <c r="ADB1" s="6"/>
      <c r="ADC1" s="6"/>
      <c r="ADD1" s="6"/>
      <c r="ADE1" s="6"/>
      <c r="ADF1" s="6"/>
      <c r="ADG1" s="6"/>
      <c r="ADH1" s="6"/>
      <c r="ADI1" s="6"/>
      <c r="ADJ1" s="6"/>
      <c r="ADK1" s="6"/>
      <c r="ADL1" s="6"/>
      <c r="ADM1" s="6"/>
      <c r="ADN1" s="6"/>
      <c r="ADO1" s="6"/>
      <c r="ADP1" s="6"/>
      <c r="ADQ1" s="6"/>
      <c r="ADR1" s="6"/>
      <c r="ADS1" s="6"/>
      <c r="ADT1" s="6"/>
      <c r="ADU1" s="6"/>
      <c r="ADV1" s="6"/>
      <c r="ADW1" s="6"/>
      <c r="ADX1" s="6"/>
      <c r="ADY1" s="6"/>
      <c r="ADZ1" s="6"/>
      <c r="AEA1" s="6"/>
      <c r="AEB1" s="6"/>
      <c r="AEC1" s="6"/>
      <c r="AED1" s="6"/>
      <c r="AEE1" s="6"/>
      <c r="AEF1" s="6"/>
      <c r="AEG1" s="6"/>
      <c r="AEH1" s="6"/>
      <c r="AEI1" s="6"/>
      <c r="AEJ1" s="6"/>
      <c r="AEK1" s="6"/>
      <c r="AEL1" s="6"/>
      <c r="AEM1" s="6"/>
      <c r="AEN1" s="6"/>
      <c r="AEO1" s="6"/>
      <c r="AEP1" s="6"/>
      <c r="AEQ1" s="6"/>
      <c r="AER1" s="6"/>
      <c r="AES1" s="6"/>
      <c r="AET1" s="6"/>
      <c r="AEU1" s="6"/>
      <c r="AEV1" s="6"/>
      <c r="AEW1" s="6"/>
      <c r="AEX1" s="6"/>
      <c r="AEY1" s="6"/>
      <c r="AEZ1" s="6"/>
      <c r="AFA1" s="6"/>
      <c r="AFB1" s="6"/>
      <c r="AFC1" s="6"/>
      <c r="AFD1" s="6"/>
      <c r="AFE1" s="6"/>
      <c r="AFF1" s="6"/>
      <c r="AFG1" s="6"/>
      <c r="AFH1" s="6"/>
      <c r="AFI1" s="6"/>
      <c r="AFJ1" s="6"/>
      <c r="AFK1" s="6"/>
      <c r="AFL1" s="6"/>
      <c r="AFM1" s="6"/>
      <c r="AFN1" s="6"/>
      <c r="AFO1" s="6"/>
      <c r="AFP1" s="6"/>
      <c r="AFQ1" s="6"/>
      <c r="AFR1" s="6"/>
      <c r="AFS1" s="6"/>
      <c r="AFT1" s="6"/>
      <c r="AFU1" s="6"/>
      <c r="AFV1" s="6"/>
      <c r="AFW1" s="6"/>
      <c r="AFX1" s="6"/>
      <c r="AFY1" s="6"/>
      <c r="AFZ1" s="6"/>
      <c r="AGA1" s="6"/>
      <c r="AGB1" s="6"/>
      <c r="AGC1" s="6"/>
      <c r="AGD1" s="6"/>
      <c r="AGE1" s="6"/>
      <c r="AGF1" s="6"/>
      <c r="AGG1" s="6"/>
      <c r="AGH1" s="6"/>
      <c r="AGI1" s="6"/>
      <c r="AGJ1" s="6"/>
      <c r="AGK1" s="6"/>
      <c r="AGL1" s="6"/>
      <c r="AGM1" s="6"/>
      <c r="AGN1" s="6"/>
      <c r="AGO1" s="6"/>
      <c r="AGP1" s="6"/>
      <c r="AGQ1" s="6"/>
      <c r="AGR1" s="6"/>
      <c r="AGS1" s="6"/>
      <c r="AGT1" s="6"/>
      <c r="AGU1" s="6"/>
      <c r="AGV1" s="6"/>
      <c r="AGW1" s="6"/>
      <c r="AGX1" s="6"/>
      <c r="AGY1" s="6"/>
      <c r="AGZ1" s="6"/>
      <c r="AHA1" s="6"/>
      <c r="AHB1" s="6"/>
      <c r="AHC1" s="6"/>
      <c r="AHD1" s="6"/>
      <c r="AHE1" s="6"/>
      <c r="AHF1" s="6"/>
      <c r="AHG1" s="6"/>
      <c r="AHH1" s="6"/>
      <c r="AHI1" s="6"/>
      <c r="AHJ1" s="6"/>
      <c r="AHK1" s="6"/>
      <c r="AHL1" s="6"/>
      <c r="AHM1" s="6"/>
      <c r="AHN1" s="6"/>
      <c r="AHO1" s="6"/>
      <c r="AHP1" s="6"/>
      <c r="AHQ1" s="6"/>
      <c r="AHR1" s="6"/>
      <c r="AHS1" s="6"/>
      <c r="AHT1" s="6"/>
      <c r="AHU1" s="6"/>
      <c r="AHV1" s="6"/>
      <c r="AHW1" s="6"/>
      <c r="AHX1" s="6"/>
      <c r="AHY1" s="6"/>
      <c r="AHZ1" s="6"/>
      <c r="AIA1" s="6"/>
      <c r="AIB1" s="6"/>
      <c r="AIC1" s="6"/>
      <c r="AID1" s="6"/>
      <c r="AIE1" s="6"/>
      <c r="AIF1" s="6"/>
      <c r="AIG1" s="6"/>
      <c r="AIH1" s="6"/>
      <c r="AII1" s="6"/>
      <c r="AIJ1" s="6"/>
      <c r="AIK1" s="6"/>
      <c r="AIL1" s="6"/>
      <c r="AIM1" s="6"/>
      <c r="AIN1" s="6"/>
      <c r="AIO1" s="6"/>
      <c r="AIP1" s="6"/>
      <c r="AIQ1" s="6"/>
      <c r="AIR1" s="6"/>
      <c r="AIS1" s="6"/>
      <c r="AIT1" s="6"/>
      <c r="AIU1" s="6"/>
      <c r="AIV1" s="6"/>
      <c r="AIW1" s="6"/>
      <c r="AIX1" s="6"/>
      <c r="AIY1" s="6"/>
      <c r="AIZ1" s="6"/>
      <c r="AJA1" s="6"/>
      <c r="AJB1" s="6"/>
      <c r="AJC1" s="6"/>
      <c r="AJD1" s="6"/>
      <c r="AJE1" s="6"/>
      <c r="AJF1" s="6"/>
      <c r="AJG1" s="6"/>
      <c r="AJH1" s="6"/>
      <c r="AJI1" s="6"/>
      <c r="AJJ1" s="6"/>
      <c r="AJK1" s="6"/>
      <c r="AJL1" s="6"/>
      <c r="AJM1" s="6"/>
      <c r="AJN1" s="6"/>
      <c r="AJO1" s="6"/>
      <c r="AJP1" s="6"/>
      <c r="AJQ1" s="6"/>
      <c r="AJR1" s="6"/>
      <c r="AJS1" s="6"/>
      <c r="AJT1" s="6"/>
      <c r="AJU1" s="6"/>
      <c r="AJV1" s="6"/>
      <c r="AJW1" s="6"/>
      <c r="AJX1" s="6"/>
      <c r="AJY1" s="6"/>
      <c r="AJZ1" s="6"/>
      <c r="AKA1" s="6"/>
      <c r="AKB1" s="6"/>
      <c r="AKC1" s="6"/>
      <c r="AKD1" s="6"/>
      <c r="AKE1" s="6"/>
      <c r="AKF1" s="6"/>
      <c r="AKG1" s="6"/>
      <c r="AKH1" s="6"/>
      <c r="AKI1" s="6"/>
      <c r="AKJ1" s="6"/>
      <c r="AKK1" s="6"/>
      <c r="AKL1" s="6"/>
      <c r="AKM1" s="6"/>
      <c r="AKN1" s="6"/>
      <c r="AKO1" s="6"/>
      <c r="AKP1" s="6"/>
      <c r="AKQ1" s="6"/>
      <c r="AKR1" s="6"/>
      <c r="AKS1" s="6"/>
      <c r="AKT1" s="6"/>
      <c r="AKU1" s="6"/>
      <c r="AKV1" s="6"/>
      <c r="AKW1" s="6"/>
      <c r="AKX1" s="6"/>
      <c r="AKY1" s="6"/>
      <c r="AKZ1" s="6"/>
      <c r="ALA1" s="6"/>
      <c r="ALB1" s="6"/>
      <c r="ALC1" s="6"/>
      <c r="ALD1" s="6"/>
      <c r="ALE1" s="6"/>
      <c r="ALF1" s="6"/>
      <c r="ALG1" s="6"/>
      <c r="ALH1" s="6"/>
      <c r="ALI1" s="6"/>
      <c r="ALJ1" s="6"/>
      <c r="ALK1" s="6"/>
      <c r="ALL1" s="6"/>
      <c r="ALM1" s="6"/>
      <c r="ALN1" s="6"/>
      <c r="ALO1" s="6"/>
      <c r="ALP1" s="6"/>
      <c r="ALQ1" s="6"/>
      <c r="ALR1" s="6"/>
      <c r="ALS1" s="6"/>
      <c r="ALT1" s="6"/>
      <c r="ALU1" s="6"/>
      <c r="ALV1" s="6"/>
      <c r="ALW1" s="6"/>
      <c r="ALX1" s="6"/>
      <c r="ALY1" s="6"/>
      <c r="ALZ1" s="6"/>
      <c r="AMA1" s="6"/>
      <c r="AMB1" s="6"/>
      <c r="AMC1" s="6"/>
      <c r="AMD1" s="6"/>
      <c r="AME1" s="6"/>
      <c r="AMF1" s="6"/>
      <c r="AMG1" s="6"/>
      <c r="AMH1" s="6"/>
      <c r="AMI1" s="6"/>
      <c r="AMJ1" s="6"/>
      <c r="AMK1" s="6"/>
      <c r="AML1" s="6"/>
    </row>
    <row r="2" spans="1:1026" ht="25.5" x14ac:dyDescent="0.2">
      <c r="A2" s="4" t="s">
        <v>57</v>
      </c>
      <c r="B2" s="4" t="s">
        <v>58</v>
      </c>
      <c r="C2" s="4" t="s">
        <v>59</v>
      </c>
      <c r="D2" s="4" t="s">
        <v>60</v>
      </c>
      <c r="E2" s="4" t="s">
        <v>61</v>
      </c>
      <c r="F2" s="4" t="s">
        <v>62</v>
      </c>
      <c r="G2" s="4" t="s">
        <v>63</v>
      </c>
      <c r="H2" s="4" t="s">
        <v>64</v>
      </c>
      <c r="I2" s="4" t="s">
        <v>65</v>
      </c>
      <c r="J2" s="4" t="s">
        <v>66</v>
      </c>
      <c r="K2" s="4" t="s">
        <v>67</v>
      </c>
    </row>
    <row r="3" spans="1:1026" ht="38.25" x14ac:dyDescent="0.2">
      <c r="A3" s="5" t="s">
        <v>68</v>
      </c>
      <c r="B3" s="5" t="s">
        <v>69</v>
      </c>
      <c r="C3" s="5">
        <v>0</v>
      </c>
      <c r="D3" s="5" t="s">
        <v>70</v>
      </c>
      <c r="E3" s="5" t="s">
        <v>29</v>
      </c>
      <c r="G3" s="5" t="s">
        <v>71</v>
      </c>
      <c r="K3" s="7">
        <v>43800</v>
      </c>
    </row>
    <row r="4" spans="1:1026" ht="127.5" x14ac:dyDescent="0.2">
      <c r="A4" s="5" t="s">
        <v>27</v>
      </c>
      <c r="B4" s="5" t="s">
        <v>72</v>
      </c>
      <c r="C4" s="5">
        <v>2</v>
      </c>
      <c r="D4" s="5" t="s">
        <v>70</v>
      </c>
      <c r="E4" s="5" t="s">
        <v>31</v>
      </c>
      <c r="G4" s="5" t="s">
        <v>73</v>
      </c>
      <c r="H4" s="5" t="s">
        <v>74</v>
      </c>
      <c r="K4" s="7">
        <v>43800</v>
      </c>
    </row>
    <row r="5" spans="1:1026" ht="140.25" x14ac:dyDescent="0.2">
      <c r="A5" s="5" t="s">
        <v>75</v>
      </c>
      <c r="B5" s="5" t="s">
        <v>76</v>
      </c>
      <c r="C5" s="5">
        <v>5</v>
      </c>
      <c r="D5" s="5" t="s">
        <v>70</v>
      </c>
      <c r="E5" s="5" t="s">
        <v>31</v>
      </c>
      <c r="G5" s="5" t="s">
        <v>77</v>
      </c>
      <c r="K5" s="7">
        <v>43800</v>
      </c>
    </row>
    <row r="6" spans="1:1026" ht="76.5" x14ac:dyDescent="0.2">
      <c r="A6" s="5" t="s">
        <v>25</v>
      </c>
      <c r="B6" s="5" t="s">
        <v>78</v>
      </c>
      <c r="C6" s="5">
        <v>4</v>
      </c>
      <c r="D6" s="5" t="s">
        <v>70</v>
      </c>
      <c r="E6" s="5" t="s">
        <v>29</v>
      </c>
      <c r="G6" s="5" t="s">
        <v>79</v>
      </c>
      <c r="K6" s="7">
        <v>43800</v>
      </c>
    </row>
    <row r="7" spans="1:1026" ht="38.25" x14ac:dyDescent="0.2">
      <c r="A7" s="5" t="s">
        <v>80</v>
      </c>
      <c r="B7" s="5" t="s">
        <v>81</v>
      </c>
      <c r="C7" s="5">
        <v>2</v>
      </c>
      <c r="D7" s="5" t="s">
        <v>70</v>
      </c>
      <c r="E7" s="5" t="s">
        <v>29</v>
      </c>
      <c r="G7" s="5" t="s">
        <v>82</v>
      </c>
      <c r="H7" s="5" t="s">
        <v>83</v>
      </c>
      <c r="K7" s="7">
        <v>43800</v>
      </c>
    </row>
    <row r="8" spans="1:1026" ht="89.25" x14ac:dyDescent="0.2">
      <c r="A8" s="5" t="s">
        <v>84</v>
      </c>
      <c r="B8" s="5" t="s">
        <v>85</v>
      </c>
      <c r="C8" s="5">
        <v>1</v>
      </c>
      <c r="D8" s="5" t="s">
        <v>70</v>
      </c>
      <c r="E8" s="5" t="s">
        <v>29</v>
      </c>
      <c r="G8" s="5" t="s">
        <v>86</v>
      </c>
      <c r="K8" s="7">
        <v>43800</v>
      </c>
    </row>
  </sheetData>
  <hyperlinks>
    <hyperlink ref="A3" r:id="rId1" xr:uid="{00000000-0004-0000-0100-000000000000}"/>
    <hyperlink ref="A4" r:id="rId2" xr:uid="{00000000-0004-0000-0100-000001000000}"/>
    <hyperlink ref="A5" r:id="rId3" xr:uid="{00000000-0004-0000-0100-000002000000}"/>
    <hyperlink ref="A6" r:id="rId4" xr:uid="{00000000-0004-0000-0100-000003000000}"/>
    <hyperlink ref="A7" r:id="rId5" xr:uid="{00000000-0004-0000-0100-000004000000}"/>
    <hyperlink ref="A8" r:id="rId6" xr:uid="{00000000-0004-0000-0100-000005000000}"/>
  </hyperlinks>
  <pageMargins left="0" right="0" top="0.39370078740157483" bottom="0.39370078740157483" header="0" footer="0"/>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C84A2-FD7E-4928-B361-A9A29732574F}">
  <dimension ref="A1:F16"/>
  <sheetViews>
    <sheetView zoomScale="85" zoomScaleNormal="85" workbookViewId="0">
      <pane xSplit="3" ySplit="2" topLeftCell="D3" activePane="bottomRight" state="frozen"/>
      <selection pane="topRight" activeCell="B6" sqref="A1:XFD1048576"/>
      <selection pane="bottomLeft" activeCell="B6" sqref="A1:XFD1048576"/>
      <selection pane="bottomRight" activeCell="D8" sqref="D8"/>
    </sheetView>
  </sheetViews>
  <sheetFormatPr defaultColWidth="8.625" defaultRowHeight="12.75" x14ac:dyDescent="0.2"/>
  <cols>
    <col min="1" max="1" width="4.125" style="18" customWidth="1"/>
    <col min="2" max="3" width="23.125" style="18" customWidth="1"/>
    <col min="4" max="4" width="44" style="18" customWidth="1"/>
    <col min="5" max="5" width="8.625" style="18"/>
    <col min="6" max="6" width="61.5" style="18" customWidth="1"/>
    <col min="7" max="16384" width="8.625" style="18"/>
  </cols>
  <sheetData>
    <row r="1" spans="1:6" s="12" customFormat="1" x14ac:dyDescent="0.2">
      <c r="A1" s="11" t="str">
        <f>CONCATENATE("Checklistst bij zaaktype ",Zaaktype!B2,": ",Zaaktype!B3)</f>
        <v>Checklistst bij zaaktype 1: Advies verstrekken</v>
      </c>
    </row>
    <row r="2" spans="1:6" s="12" customFormat="1" x14ac:dyDescent="0.2">
      <c r="A2" s="13" t="s">
        <v>87</v>
      </c>
      <c r="B2" s="13"/>
      <c r="C2" s="13" t="s">
        <v>88</v>
      </c>
      <c r="D2" s="13" t="s">
        <v>89</v>
      </c>
      <c r="E2" s="13" t="s">
        <v>90</v>
      </c>
      <c r="F2" s="13" t="s">
        <v>63</v>
      </c>
    </row>
    <row r="3" spans="1:6" ht="63.75" x14ac:dyDescent="0.2">
      <c r="A3" s="14" t="s">
        <v>68</v>
      </c>
      <c r="B3" s="14" t="s">
        <v>69</v>
      </c>
      <c r="C3" s="18" t="s">
        <v>91</v>
      </c>
      <c r="D3" s="18" t="s">
        <v>92</v>
      </c>
      <c r="E3" s="18" t="s">
        <v>29</v>
      </c>
      <c r="F3" s="18" t="s">
        <v>93</v>
      </c>
    </row>
    <row r="4" spans="1:6" ht="25.5" x14ac:dyDescent="0.2">
      <c r="A4" s="15" t="s">
        <v>68</v>
      </c>
      <c r="B4" s="15" t="s">
        <v>69</v>
      </c>
      <c r="C4" s="15" t="s">
        <v>94</v>
      </c>
      <c r="D4" s="15" t="s">
        <v>95</v>
      </c>
      <c r="E4" s="15" t="s">
        <v>29</v>
      </c>
      <c r="F4" s="15" t="s">
        <v>96</v>
      </c>
    </row>
    <row r="5" spans="1:6" ht="127.5" x14ac:dyDescent="0.2">
      <c r="A5" s="16" t="s">
        <v>27</v>
      </c>
      <c r="B5" s="14" t="s">
        <v>72</v>
      </c>
      <c r="C5" s="18" t="s">
        <v>97</v>
      </c>
      <c r="D5" s="18" t="s">
        <v>98</v>
      </c>
      <c r="E5" s="18" t="s">
        <v>29</v>
      </c>
      <c r="F5" s="18" t="s">
        <v>99</v>
      </c>
    </row>
    <row r="6" spans="1:6" ht="25.5" x14ac:dyDescent="0.2">
      <c r="A6" s="17" t="s">
        <v>27</v>
      </c>
      <c r="B6" s="18" t="s">
        <v>72</v>
      </c>
      <c r="C6" s="18" t="s">
        <v>100</v>
      </c>
      <c r="D6" s="18" t="s">
        <v>101</v>
      </c>
      <c r="E6" s="18" t="s">
        <v>31</v>
      </c>
      <c r="F6" s="18" t="s">
        <v>102</v>
      </c>
    </row>
    <row r="7" spans="1:6" ht="25.5" x14ac:dyDescent="0.2">
      <c r="A7" s="19" t="s">
        <v>27</v>
      </c>
      <c r="B7" s="15" t="s">
        <v>72</v>
      </c>
      <c r="C7" s="15" t="s">
        <v>103</v>
      </c>
      <c r="D7" s="15" t="s">
        <v>104</v>
      </c>
      <c r="E7" s="15" t="s">
        <v>31</v>
      </c>
      <c r="F7" s="15" t="s">
        <v>105</v>
      </c>
    </row>
    <row r="8" spans="1:6" ht="89.25" x14ac:dyDescent="0.2">
      <c r="A8" s="20" t="s">
        <v>75</v>
      </c>
      <c r="B8" s="21" t="s">
        <v>76</v>
      </c>
      <c r="C8" s="32" t="s">
        <v>106</v>
      </c>
      <c r="D8" s="32" t="s">
        <v>107</v>
      </c>
      <c r="E8" s="32" t="s">
        <v>31</v>
      </c>
      <c r="F8" s="32" t="s">
        <v>108</v>
      </c>
    </row>
    <row r="9" spans="1:6" ht="38.25" x14ac:dyDescent="0.2">
      <c r="A9" s="16" t="s">
        <v>25</v>
      </c>
      <c r="B9" s="14" t="s">
        <v>78</v>
      </c>
      <c r="C9" s="18" t="s">
        <v>109</v>
      </c>
      <c r="D9" s="18" t="s">
        <v>110</v>
      </c>
      <c r="E9" s="18" t="s">
        <v>29</v>
      </c>
      <c r="F9" s="18" t="s">
        <v>111</v>
      </c>
    </row>
    <row r="10" spans="1:6" ht="25.5" x14ac:dyDescent="0.2">
      <c r="A10" s="17" t="s">
        <v>25</v>
      </c>
      <c r="B10" s="18" t="s">
        <v>78</v>
      </c>
      <c r="C10" s="18" t="s">
        <v>112</v>
      </c>
      <c r="D10" s="18" t="s">
        <v>113</v>
      </c>
      <c r="E10" s="18" t="s">
        <v>29</v>
      </c>
      <c r="F10" s="18" t="s">
        <v>114</v>
      </c>
    </row>
    <row r="11" spans="1:6" ht="63.75" x14ac:dyDescent="0.2">
      <c r="A11" s="19" t="s">
        <v>25</v>
      </c>
      <c r="B11" s="15" t="s">
        <v>78</v>
      </c>
      <c r="C11" s="15" t="s">
        <v>115</v>
      </c>
      <c r="D11" s="15" t="s">
        <v>116</v>
      </c>
      <c r="E11" s="15" t="s">
        <v>29</v>
      </c>
      <c r="F11" s="15" t="s">
        <v>117</v>
      </c>
    </row>
    <row r="12" spans="1:6" ht="38.25" x14ac:dyDescent="0.2">
      <c r="A12" s="16" t="s">
        <v>80</v>
      </c>
      <c r="B12" s="14" t="s">
        <v>81</v>
      </c>
      <c r="C12" s="18" t="s">
        <v>118</v>
      </c>
      <c r="D12" s="18" t="s">
        <v>119</v>
      </c>
      <c r="E12" s="18" t="s">
        <v>29</v>
      </c>
      <c r="F12" s="18" t="s">
        <v>120</v>
      </c>
    </row>
    <row r="13" spans="1:6" ht="63.75" x14ac:dyDescent="0.2">
      <c r="A13" s="19" t="s">
        <v>80</v>
      </c>
      <c r="B13" s="15" t="s">
        <v>81</v>
      </c>
      <c r="C13" s="15" t="s">
        <v>121</v>
      </c>
      <c r="D13" s="15" t="s">
        <v>122</v>
      </c>
      <c r="E13" s="15" t="s">
        <v>29</v>
      </c>
      <c r="F13" s="15" t="s">
        <v>123</v>
      </c>
    </row>
    <row r="14" spans="1:6" ht="25.5" x14ac:dyDescent="0.2">
      <c r="A14" s="16" t="s">
        <v>84</v>
      </c>
      <c r="B14" s="14" t="s">
        <v>85</v>
      </c>
      <c r="C14" s="18" t="s">
        <v>124</v>
      </c>
      <c r="D14" s="18" t="s">
        <v>125</v>
      </c>
      <c r="E14" s="18" t="s">
        <v>29</v>
      </c>
      <c r="F14" s="18" t="s">
        <v>126</v>
      </c>
    </row>
    <row r="15" spans="1:6" ht="63.75" x14ac:dyDescent="0.2">
      <c r="A15" s="17" t="s">
        <v>84</v>
      </c>
      <c r="B15" s="18" t="s">
        <v>85</v>
      </c>
      <c r="C15" s="18" t="s">
        <v>127</v>
      </c>
      <c r="D15" s="18" t="s">
        <v>128</v>
      </c>
      <c r="E15" s="18" t="s">
        <v>29</v>
      </c>
      <c r="F15" s="18" t="s">
        <v>129</v>
      </c>
    </row>
    <row r="16" spans="1:6" ht="38.25" x14ac:dyDescent="0.2">
      <c r="A16" s="19" t="s">
        <v>84</v>
      </c>
      <c r="B16" s="15" t="s">
        <v>85</v>
      </c>
      <c r="C16" s="15" t="s">
        <v>130</v>
      </c>
      <c r="D16" s="15" t="s">
        <v>131</v>
      </c>
      <c r="E16" s="15" t="s">
        <v>29</v>
      </c>
      <c r="F16" s="15" t="s">
        <v>132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8"/>
  <sheetViews>
    <sheetView workbookViewId="0">
      <pane xSplit="1" ySplit="2" topLeftCell="B3" activePane="bottomRight" state="frozen"/>
      <selection pane="topRight" activeCell="B6" sqref="A1:XFD1048576"/>
      <selection pane="bottomLeft" activeCell="B6" sqref="A1:XFD1048576"/>
      <selection pane="bottomRight" activeCell="E12" sqref="E12"/>
    </sheetView>
  </sheetViews>
  <sheetFormatPr defaultColWidth="8.625" defaultRowHeight="12.75" x14ac:dyDescent="0.2"/>
  <cols>
    <col min="1" max="1" width="23.5" style="6" customWidth="1"/>
    <col min="2" max="2" width="25.125" style="6" customWidth="1"/>
    <col min="3" max="3" width="31.625" style="6" customWidth="1"/>
    <col min="4" max="4" width="30.125" style="6" customWidth="1"/>
    <col min="5" max="5" width="12.125" style="6" customWidth="1"/>
    <col min="6" max="1024" width="42.625" style="6" customWidth="1"/>
    <col min="1025" max="16384" width="8.625" style="33"/>
  </cols>
  <sheetData>
    <row r="1" spans="1:1024" x14ac:dyDescent="0.2">
      <c r="A1" s="29" t="str">
        <f>CONCATENATE("Roltypen bij zaaktype ",Zaaktype!B2,": ",Zaaktype!B3)</f>
        <v>Roltypen bij zaaktype 1: Advies verstrekken</v>
      </c>
    </row>
    <row r="2" spans="1:1024" s="18" customFormat="1" ht="25.5" x14ac:dyDescent="0.2">
      <c r="A2" s="4" t="s">
        <v>58</v>
      </c>
      <c r="B2" s="4" t="s">
        <v>133</v>
      </c>
      <c r="C2" s="4" t="s">
        <v>134</v>
      </c>
      <c r="D2" s="4" t="s">
        <v>135</v>
      </c>
      <c r="E2" s="4" t="s">
        <v>67</v>
      </c>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c r="IX2" s="5"/>
      <c r="IY2" s="5"/>
      <c r="IZ2" s="5"/>
      <c r="JA2" s="5"/>
      <c r="JB2" s="5"/>
      <c r="JC2" s="5"/>
      <c r="JD2" s="5"/>
      <c r="JE2" s="5"/>
      <c r="JF2" s="5"/>
      <c r="JG2" s="5"/>
      <c r="JH2" s="5"/>
      <c r="JI2" s="5"/>
      <c r="JJ2" s="5"/>
      <c r="JK2" s="5"/>
      <c r="JL2" s="5"/>
      <c r="JM2" s="5"/>
      <c r="JN2" s="5"/>
      <c r="JO2" s="5"/>
      <c r="JP2" s="5"/>
      <c r="JQ2" s="5"/>
      <c r="JR2" s="5"/>
      <c r="JS2" s="5"/>
      <c r="JT2" s="5"/>
      <c r="JU2" s="5"/>
      <c r="JV2" s="5"/>
      <c r="JW2" s="5"/>
      <c r="JX2" s="5"/>
      <c r="JY2" s="5"/>
      <c r="JZ2" s="5"/>
      <c r="KA2" s="5"/>
      <c r="KB2" s="5"/>
      <c r="KC2" s="5"/>
      <c r="KD2" s="5"/>
      <c r="KE2" s="5"/>
      <c r="KF2" s="5"/>
      <c r="KG2" s="5"/>
      <c r="KH2" s="5"/>
      <c r="KI2" s="5"/>
      <c r="KJ2" s="5"/>
      <c r="KK2" s="5"/>
      <c r="KL2" s="5"/>
      <c r="KM2" s="5"/>
      <c r="KN2" s="5"/>
      <c r="KO2" s="5"/>
      <c r="KP2" s="5"/>
      <c r="KQ2" s="5"/>
      <c r="KR2" s="5"/>
      <c r="KS2" s="5"/>
      <c r="KT2" s="5"/>
      <c r="KU2" s="5"/>
      <c r="KV2" s="5"/>
      <c r="KW2" s="5"/>
      <c r="KX2" s="5"/>
      <c r="KY2" s="5"/>
      <c r="KZ2" s="5"/>
      <c r="LA2" s="5"/>
      <c r="LB2" s="5"/>
      <c r="LC2" s="5"/>
      <c r="LD2" s="5"/>
      <c r="LE2" s="5"/>
      <c r="LF2" s="5"/>
      <c r="LG2" s="5"/>
      <c r="LH2" s="5"/>
      <c r="LI2" s="5"/>
      <c r="LJ2" s="5"/>
      <c r="LK2" s="5"/>
      <c r="LL2" s="5"/>
      <c r="LM2" s="5"/>
      <c r="LN2" s="5"/>
      <c r="LO2" s="5"/>
      <c r="LP2" s="5"/>
      <c r="LQ2" s="5"/>
      <c r="LR2" s="5"/>
      <c r="LS2" s="5"/>
      <c r="LT2" s="5"/>
      <c r="LU2" s="5"/>
      <c r="LV2" s="5"/>
      <c r="LW2" s="5"/>
      <c r="LX2" s="5"/>
      <c r="LY2" s="5"/>
      <c r="LZ2" s="5"/>
      <c r="MA2" s="5"/>
      <c r="MB2" s="5"/>
      <c r="MC2" s="5"/>
      <c r="MD2" s="5"/>
      <c r="ME2" s="5"/>
      <c r="MF2" s="5"/>
      <c r="MG2" s="5"/>
      <c r="MH2" s="5"/>
      <c r="MI2" s="5"/>
      <c r="MJ2" s="5"/>
      <c r="MK2" s="5"/>
      <c r="ML2" s="5"/>
      <c r="MM2" s="5"/>
      <c r="MN2" s="5"/>
      <c r="MO2" s="5"/>
      <c r="MP2" s="5"/>
      <c r="MQ2" s="5"/>
      <c r="MR2" s="5"/>
      <c r="MS2" s="5"/>
      <c r="MT2" s="5"/>
      <c r="MU2" s="5"/>
      <c r="MV2" s="5"/>
      <c r="MW2" s="5"/>
      <c r="MX2" s="5"/>
      <c r="MY2" s="5"/>
      <c r="MZ2" s="5"/>
      <c r="NA2" s="5"/>
      <c r="NB2" s="5"/>
      <c r="NC2" s="5"/>
      <c r="ND2" s="5"/>
      <c r="NE2" s="5"/>
      <c r="NF2" s="5"/>
      <c r="NG2" s="5"/>
      <c r="NH2" s="5"/>
      <c r="NI2" s="5"/>
      <c r="NJ2" s="5"/>
      <c r="NK2" s="5"/>
      <c r="NL2" s="5"/>
      <c r="NM2" s="5"/>
      <c r="NN2" s="5"/>
      <c r="NO2" s="5"/>
      <c r="NP2" s="5"/>
      <c r="NQ2" s="5"/>
      <c r="NR2" s="5"/>
      <c r="NS2" s="5"/>
      <c r="NT2" s="5"/>
      <c r="NU2" s="5"/>
      <c r="NV2" s="5"/>
      <c r="NW2" s="5"/>
      <c r="NX2" s="5"/>
      <c r="NY2" s="5"/>
      <c r="NZ2" s="5"/>
      <c r="OA2" s="5"/>
      <c r="OB2" s="5"/>
      <c r="OC2" s="5"/>
      <c r="OD2" s="5"/>
      <c r="OE2" s="5"/>
      <c r="OF2" s="5"/>
      <c r="OG2" s="5"/>
      <c r="OH2" s="5"/>
      <c r="OI2" s="5"/>
      <c r="OJ2" s="5"/>
      <c r="OK2" s="5"/>
      <c r="OL2" s="5"/>
      <c r="OM2" s="5"/>
      <c r="ON2" s="5"/>
      <c r="OO2" s="5"/>
      <c r="OP2" s="5"/>
      <c r="OQ2" s="5"/>
      <c r="OR2" s="5"/>
      <c r="OS2" s="5"/>
      <c r="OT2" s="5"/>
      <c r="OU2" s="5"/>
      <c r="OV2" s="5"/>
      <c r="OW2" s="5"/>
      <c r="OX2" s="5"/>
      <c r="OY2" s="5"/>
      <c r="OZ2" s="5"/>
      <c r="PA2" s="5"/>
      <c r="PB2" s="5"/>
      <c r="PC2" s="5"/>
      <c r="PD2" s="5"/>
      <c r="PE2" s="5"/>
      <c r="PF2" s="5"/>
      <c r="PG2" s="5"/>
      <c r="PH2" s="5"/>
      <c r="PI2" s="5"/>
      <c r="PJ2" s="5"/>
      <c r="PK2" s="5"/>
      <c r="PL2" s="5"/>
      <c r="PM2" s="5"/>
      <c r="PN2" s="5"/>
      <c r="PO2" s="5"/>
      <c r="PP2" s="5"/>
      <c r="PQ2" s="5"/>
      <c r="PR2" s="5"/>
      <c r="PS2" s="5"/>
      <c r="PT2" s="5"/>
      <c r="PU2" s="5"/>
      <c r="PV2" s="5"/>
      <c r="PW2" s="5"/>
      <c r="PX2" s="5"/>
      <c r="PY2" s="5"/>
      <c r="PZ2" s="5"/>
      <c r="QA2" s="5"/>
      <c r="QB2" s="5"/>
      <c r="QC2" s="5"/>
      <c r="QD2" s="5"/>
      <c r="QE2" s="5"/>
      <c r="QF2" s="5"/>
      <c r="QG2" s="5"/>
      <c r="QH2" s="5"/>
      <c r="QI2" s="5"/>
      <c r="QJ2" s="5"/>
      <c r="QK2" s="5"/>
      <c r="QL2" s="5"/>
      <c r="QM2" s="5"/>
      <c r="QN2" s="5"/>
      <c r="QO2" s="5"/>
      <c r="QP2" s="5"/>
      <c r="QQ2" s="5"/>
      <c r="QR2" s="5"/>
      <c r="QS2" s="5"/>
      <c r="QT2" s="5"/>
      <c r="QU2" s="5"/>
      <c r="QV2" s="5"/>
      <c r="QW2" s="5"/>
      <c r="QX2" s="5"/>
      <c r="QY2" s="5"/>
      <c r="QZ2" s="5"/>
      <c r="RA2" s="5"/>
      <c r="RB2" s="5"/>
      <c r="RC2" s="5"/>
      <c r="RD2" s="5"/>
      <c r="RE2" s="5"/>
      <c r="RF2" s="5"/>
      <c r="RG2" s="5"/>
      <c r="RH2" s="5"/>
      <c r="RI2" s="5"/>
      <c r="RJ2" s="5"/>
      <c r="RK2" s="5"/>
      <c r="RL2" s="5"/>
      <c r="RM2" s="5"/>
      <c r="RN2" s="5"/>
      <c r="RO2" s="5"/>
      <c r="RP2" s="5"/>
      <c r="RQ2" s="5"/>
      <c r="RR2" s="5"/>
      <c r="RS2" s="5"/>
      <c r="RT2" s="5"/>
      <c r="RU2" s="5"/>
      <c r="RV2" s="5"/>
      <c r="RW2" s="5"/>
      <c r="RX2" s="5"/>
      <c r="RY2" s="5"/>
      <c r="RZ2" s="5"/>
      <c r="SA2" s="5"/>
      <c r="SB2" s="5"/>
      <c r="SC2" s="5"/>
      <c r="SD2" s="5"/>
      <c r="SE2" s="5"/>
      <c r="SF2" s="5"/>
      <c r="SG2" s="5"/>
      <c r="SH2" s="5"/>
      <c r="SI2" s="5"/>
      <c r="SJ2" s="5"/>
      <c r="SK2" s="5"/>
      <c r="SL2" s="5"/>
      <c r="SM2" s="5"/>
      <c r="SN2" s="5"/>
      <c r="SO2" s="5"/>
      <c r="SP2" s="5"/>
      <c r="SQ2" s="5"/>
      <c r="SR2" s="5"/>
      <c r="SS2" s="5"/>
      <c r="ST2" s="5"/>
      <c r="SU2" s="5"/>
      <c r="SV2" s="5"/>
      <c r="SW2" s="5"/>
      <c r="SX2" s="5"/>
      <c r="SY2" s="5"/>
      <c r="SZ2" s="5"/>
      <c r="TA2" s="5"/>
      <c r="TB2" s="5"/>
      <c r="TC2" s="5"/>
      <c r="TD2" s="5"/>
      <c r="TE2" s="5"/>
      <c r="TF2" s="5"/>
      <c r="TG2" s="5"/>
      <c r="TH2" s="5"/>
      <c r="TI2" s="5"/>
      <c r="TJ2" s="5"/>
      <c r="TK2" s="5"/>
      <c r="TL2" s="5"/>
      <c r="TM2" s="5"/>
      <c r="TN2" s="5"/>
      <c r="TO2" s="5"/>
      <c r="TP2" s="5"/>
      <c r="TQ2" s="5"/>
      <c r="TR2" s="5"/>
      <c r="TS2" s="5"/>
      <c r="TT2" s="5"/>
      <c r="TU2" s="5"/>
      <c r="TV2" s="5"/>
      <c r="TW2" s="5"/>
      <c r="TX2" s="5"/>
      <c r="TY2" s="5"/>
      <c r="TZ2" s="5"/>
      <c r="UA2" s="5"/>
      <c r="UB2" s="5"/>
      <c r="UC2" s="5"/>
      <c r="UD2" s="5"/>
      <c r="UE2" s="5"/>
      <c r="UF2" s="5"/>
      <c r="UG2" s="5"/>
      <c r="UH2" s="5"/>
      <c r="UI2" s="5"/>
      <c r="UJ2" s="5"/>
      <c r="UK2" s="5"/>
      <c r="UL2" s="5"/>
      <c r="UM2" s="5"/>
      <c r="UN2" s="5"/>
      <c r="UO2" s="5"/>
      <c r="UP2" s="5"/>
      <c r="UQ2" s="5"/>
      <c r="UR2" s="5"/>
      <c r="US2" s="5"/>
      <c r="UT2" s="5"/>
      <c r="UU2" s="5"/>
      <c r="UV2" s="5"/>
      <c r="UW2" s="5"/>
      <c r="UX2" s="5"/>
      <c r="UY2" s="5"/>
      <c r="UZ2" s="5"/>
      <c r="VA2" s="5"/>
      <c r="VB2" s="5"/>
      <c r="VC2" s="5"/>
      <c r="VD2" s="5"/>
      <c r="VE2" s="5"/>
      <c r="VF2" s="5"/>
      <c r="VG2" s="5"/>
      <c r="VH2" s="5"/>
      <c r="VI2" s="5"/>
      <c r="VJ2" s="5"/>
      <c r="VK2" s="5"/>
      <c r="VL2" s="5"/>
      <c r="VM2" s="5"/>
      <c r="VN2" s="5"/>
      <c r="VO2" s="5"/>
      <c r="VP2" s="5"/>
      <c r="VQ2" s="5"/>
      <c r="VR2" s="5"/>
      <c r="VS2" s="5"/>
      <c r="VT2" s="5"/>
      <c r="VU2" s="5"/>
      <c r="VV2" s="5"/>
      <c r="VW2" s="5"/>
      <c r="VX2" s="5"/>
      <c r="VY2" s="5"/>
      <c r="VZ2" s="5"/>
      <c r="WA2" s="5"/>
      <c r="WB2" s="5"/>
      <c r="WC2" s="5"/>
      <c r="WD2" s="5"/>
      <c r="WE2" s="5"/>
      <c r="WF2" s="5"/>
      <c r="WG2" s="5"/>
      <c r="WH2" s="5"/>
      <c r="WI2" s="5"/>
      <c r="WJ2" s="5"/>
      <c r="WK2" s="5"/>
      <c r="WL2" s="5"/>
      <c r="WM2" s="5"/>
      <c r="WN2" s="5"/>
      <c r="WO2" s="5"/>
      <c r="WP2" s="5"/>
      <c r="WQ2" s="5"/>
      <c r="WR2" s="5"/>
      <c r="WS2" s="5"/>
      <c r="WT2" s="5"/>
      <c r="WU2" s="5"/>
      <c r="WV2" s="5"/>
      <c r="WW2" s="5"/>
      <c r="WX2" s="5"/>
      <c r="WY2" s="5"/>
      <c r="WZ2" s="5"/>
      <c r="XA2" s="5"/>
      <c r="XB2" s="5"/>
      <c r="XC2" s="5"/>
      <c r="XD2" s="5"/>
      <c r="XE2" s="5"/>
      <c r="XF2" s="5"/>
      <c r="XG2" s="5"/>
      <c r="XH2" s="5"/>
      <c r="XI2" s="5"/>
      <c r="XJ2" s="5"/>
      <c r="XK2" s="5"/>
      <c r="XL2" s="5"/>
      <c r="XM2" s="5"/>
      <c r="XN2" s="5"/>
      <c r="XO2" s="5"/>
      <c r="XP2" s="5"/>
      <c r="XQ2" s="5"/>
      <c r="XR2" s="5"/>
      <c r="XS2" s="5"/>
      <c r="XT2" s="5"/>
      <c r="XU2" s="5"/>
      <c r="XV2" s="5"/>
      <c r="XW2" s="5"/>
      <c r="XX2" s="5"/>
      <c r="XY2" s="5"/>
      <c r="XZ2" s="5"/>
      <c r="YA2" s="5"/>
      <c r="YB2" s="5"/>
      <c r="YC2" s="5"/>
      <c r="YD2" s="5"/>
      <c r="YE2" s="5"/>
      <c r="YF2" s="5"/>
      <c r="YG2" s="5"/>
      <c r="YH2" s="5"/>
      <c r="YI2" s="5"/>
      <c r="YJ2" s="5"/>
      <c r="YK2" s="5"/>
      <c r="YL2" s="5"/>
      <c r="YM2" s="5"/>
      <c r="YN2" s="5"/>
      <c r="YO2" s="5"/>
      <c r="YP2" s="5"/>
      <c r="YQ2" s="5"/>
      <c r="YR2" s="5"/>
      <c r="YS2" s="5"/>
      <c r="YT2" s="5"/>
      <c r="YU2" s="5"/>
      <c r="YV2" s="5"/>
      <c r="YW2" s="5"/>
      <c r="YX2" s="5"/>
      <c r="YY2" s="5"/>
      <c r="YZ2" s="5"/>
      <c r="ZA2" s="5"/>
      <c r="ZB2" s="5"/>
      <c r="ZC2" s="5"/>
      <c r="ZD2" s="5"/>
      <c r="ZE2" s="5"/>
      <c r="ZF2" s="5"/>
      <c r="ZG2" s="5"/>
      <c r="ZH2" s="5"/>
      <c r="ZI2" s="5"/>
      <c r="ZJ2" s="5"/>
      <c r="ZK2" s="5"/>
      <c r="ZL2" s="5"/>
      <c r="ZM2" s="5"/>
      <c r="ZN2" s="5"/>
      <c r="ZO2" s="5"/>
      <c r="ZP2" s="5"/>
      <c r="ZQ2" s="5"/>
      <c r="ZR2" s="5"/>
      <c r="ZS2" s="5"/>
      <c r="ZT2" s="5"/>
      <c r="ZU2" s="5"/>
      <c r="ZV2" s="5"/>
      <c r="ZW2" s="5"/>
      <c r="ZX2" s="5"/>
      <c r="ZY2" s="5"/>
      <c r="ZZ2" s="5"/>
      <c r="AAA2" s="5"/>
      <c r="AAB2" s="5"/>
      <c r="AAC2" s="5"/>
      <c r="AAD2" s="5"/>
      <c r="AAE2" s="5"/>
      <c r="AAF2" s="5"/>
      <c r="AAG2" s="5"/>
      <c r="AAH2" s="5"/>
      <c r="AAI2" s="5"/>
      <c r="AAJ2" s="5"/>
      <c r="AAK2" s="5"/>
      <c r="AAL2" s="5"/>
      <c r="AAM2" s="5"/>
      <c r="AAN2" s="5"/>
      <c r="AAO2" s="5"/>
      <c r="AAP2" s="5"/>
      <c r="AAQ2" s="5"/>
      <c r="AAR2" s="5"/>
      <c r="AAS2" s="5"/>
      <c r="AAT2" s="5"/>
      <c r="AAU2" s="5"/>
      <c r="AAV2" s="5"/>
      <c r="AAW2" s="5"/>
      <c r="AAX2" s="5"/>
      <c r="AAY2" s="5"/>
      <c r="AAZ2" s="5"/>
      <c r="ABA2" s="5"/>
      <c r="ABB2" s="5"/>
      <c r="ABC2" s="5"/>
      <c r="ABD2" s="5"/>
      <c r="ABE2" s="5"/>
      <c r="ABF2" s="5"/>
      <c r="ABG2" s="5"/>
      <c r="ABH2" s="5"/>
      <c r="ABI2" s="5"/>
      <c r="ABJ2" s="5"/>
      <c r="ABK2" s="5"/>
      <c r="ABL2" s="5"/>
      <c r="ABM2" s="5"/>
      <c r="ABN2" s="5"/>
      <c r="ABO2" s="5"/>
      <c r="ABP2" s="5"/>
      <c r="ABQ2" s="5"/>
      <c r="ABR2" s="5"/>
      <c r="ABS2" s="5"/>
      <c r="ABT2" s="5"/>
      <c r="ABU2" s="5"/>
      <c r="ABV2" s="5"/>
      <c r="ABW2" s="5"/>
      <c r="ABX2" s="5"/>
      <c r="ABY2" s="5"/>
      <c r="ABZ2" s="5"/>
      <c r="ACA2" s="5"/>
      <c r="ACB2" s="5"/>
      <c r="ACC2" s="5"/>
      <c r="ACD2" s="5"/>
      <c r="ACE2" s="5"/>
      <c r="ACF2" s="5"/>
      <c r="ACG2" s="5"/>
      <c r="ACH2" s="5"/>
      <c r="ACI2" s="5"/>
      <c r="ACJ2" s="5"/>
      <c r="ACK2" s="5"/>
      <c r="ACL2" s="5"/>
      <c r="ACM2" s="5"/>
      <c r="ACN2" s="5"/>
      <c r="ACO2" s="5"/>
      <c r="ACP2" s="5"/>
      <c r="ACQ2" s="5"/>
      <c r="ACR2" s="5"/>
      <c r="ACS2" s="5"/>
      <c r="ACT2" s="5"/>
      <c r="ACU2" s="5"/>
      <c r="ACV2" s="5"/>
      <c r="ACW2" s="5"/>
      <c r="ACX2" s="5"/>
      <c r="ACY2" s="5"/>
      <c r="ACZ2" s="5"/>
      <c r="ADA2" s="5"/>
      <c r="ADB2" s="5"/>
      <c r="ADC2" s="5"/>
      <c r="ADD2" s="5"/>
      <c r="ADE2" s="5"/>
      <c r="ADF2" s="5"/>
      <c r="ADG2" s="5"/>
      <c r="ADH2" s="5"/>
      <c r="ADI2" s="5"/>
      <c r="ADJ2" s="5"/>
      <c r="ADK2" s="5"/>
      <c r="ADL2" s="5"/>
      <c r="ADM2" s="5"/>
      <c r="ADN2" s="5"/>
      <c r="ADO2" s="5"/>
      <c r="ADP2" s="5"/>
      <c r="ADQ2" s="5"/>
      <c r="ADR2" s="5"/>
      <c r="ADS2" s="5"/>
      <c r="ADT2" s="5"/>
      <c r="ADU2" s="5"/>
      <c r="ADV2" s="5"/>
      <c r="ADW2" s="5"/>
      <c r="ADX2" s="5"/>
      <c r="ADY2" s="5"/>
      <c r="ADZ2" s="5"/>
      <c r="AEA2" s="5"/>
      <c r="AEB2" s="5"/>
      <c r="AEC2" s="5"/>
      <c r="AED2" s="5"/>
      <c r="AEE2" s="5"/>
      <c r="AEF2" s="5"/>
      <c r="AEG2" s="5"/>
      <c r="AEH2" s="5"/>
      <c r="AEI2" s="5"/>
      <c r="AEJ2" s="5"/>
      <c r="AEK2" s="5"/>
      <c r="AEL2" s="5"/>
      <c r="AEM2" s="5"/>
      <c r="AEN2" s="5"/>
      <c r="AEO2" s="5"/>
      <c r="AEP2" s="5"/>
      <c r="AEQ2" s="5"/>
      <c r="AER2" s="5"/>
      <c r="AES2" s="5"/>
      <c r="AET2" s="5"/>
      <c r="AEU2" s="5"/>
      <c r="AEV2" s="5"/>
      <c r="AEW2" s="5"/>
      <c r="AEX2" s="5"/>
      <c r="AEY2" s="5"/>
      <c r="AEZ2" s="5"/>
      <c r="AFA2" s="5"/>
      <c r="AFB2" s="5"/>
      <c r="AFC2" s="5"/>
      <c r="AFD2" s="5"/>
      <c r="AFE2" s="5"/>
      <c r="AFF2" s="5"/>
      <c r="AFG2" s="5"/>
      <c r="AFH2" s="5"/>
      <c r="AFI2" s="5"/>
      <c r="AFJ2" s="5"/>
      <c r="AFK2" s="5"/>
      <c r="AFL2" s="5"/>
      <c r="AFM2" s="5"/>
      <c r="AFN2" s="5"/>
      <c r="AFO2" s="5"/>
      <c r="AFP2" s="5"/>
      <c r="AFQ2" s="5"/>
      <c r="AFR2" s="5"/>
      <c r="AFS2" s="5"/>
      <c r="AFT2" s="5"/>
      <c r="AFU2" s="5"/>
      <c r="AFV2" s="5"/>
      <c r="AFW2" s="5"/>
      <c r="AFX2" s="5"/>
      <c r="AFY2" s="5"/>
      <c r="AFZ2" s="5"/>
      <c r="AGA2" s="5"/>
      <c r="AGB2" s="5"/>
      <c r="AGC2" s="5"/>
      <c r="AGD2" s="5"/>
      <c r="AGE2" s="5"/>
      <c r="AGF2" s="5"/>
      <c r="AGG2" s="5"/>
      <c r="AGH2" s="5"/>
      <c r="AGI2" s="5"/>
      <c r="AGJ2" s="5"/>
      <c r="AGK2" s="5"/>
      <c r="AGL2" s="5"/>
      <c r="AGM2" s="5"/>
      <c r="AGN2" s="5"/>
      <c r="AGO2" s="5"/>
      <c r="AGP2" s="5"/>
      <c r="AGQ2" s="5"/>
      <c r="AGR2" s="5"/>
      <c r="AGS2" s="5"/>
      <c r="AGT2" s="5"/>
      <c r="AGU2" s="5"/>
      <c r="AGV2" s="5"/>
      <c r="AGW2" s="5"/>
      <c r="AGX2" s="5"/>
      <c r="AGY2" s="5"/>
      <c r="AGZ2" s="5"/>
      <c r="AHA2" s="5"/>
      <c r="AHB2" s="5"/>
      <c r="AHC2" s="5"/>
      <c r="AHD2" s="5"/>
      <c r="AHE2" s="5"/>
      <c r="AHF2" s="5"/>
      <c r="AHG2" s="5"/>
      <c r="AHH2" s="5"/>
      <c r="AHI2" s="5"/>
      <c r="AHJ2" s="5"/>
      <c r="AHK2" s="5"/>
      <c r="AHL2" s="5"/>
      <c r="AHM2" s="5"/>
      <c r="AHN2" s="5"/>
      <c r="AHO2" s="5"/>
      <c r="AHP2" s="5"/>
      <c r="AHQ2" s="5"/>
      <c r="AHR2" s="5"/>
      <c r="AHS2" s="5"/>
      <c r="AHT2" s="5"/>
      <c r="AHU2" s="5"/>
      <c r="AHV2" s="5"/>
      <c r="AHW2" s="5"/>
      <c r="AHX2" s="5"/>
      <c r="AHY2" s="5"/>
      <c r="AHZ2" s="5"/>
      <c r="AIA2" s="5"/>
      <c r="AIB2" s="5"/>
      <c r="AIC2" s="5"/>
      <c r="AID2" s="5"/>
      <c r="AIE2" s="5"/>
      <c r="AIF2" s="5"/>
      <c r="AIG2" s="5"/>
      <c r="AIH2" s="5"/>
      <c r="AII2" s="5"/>
      <c r="AIJ2" s="5"/>
      <c r="AIK2" s="5"/>
      <c r="AIL2" s="5"/>
      <c r="AIM2" s="5"/>
      <c r="AIN2" s="5"/>
      <c r="AIO2" s="5"/>
      <c r="AIP2" s="5"/>
      <c r="AIQ2" s="5"/>
      <c r="AIR2" s="5"/>
      <c r="AIS2" s="5"/>
      <c r="AIT2" s="5"/>
      <c r="AIU2" s="5"/>
      <c r="AIV2" s="5"/>
      <c r="AIW2" s="5"/>
      <c r="AIX2" s="5"/>
      <c r="AIY2" s="5"/>
      <c r="AIZ2" s="5"/>
      <c r="AJA2" s="5"/>
      <c r="AJB2" s="5"/>
      <c r="AJC2" s="5"/>
      <c r="AJD2" s="5"/>
      <c r="AJE2" s="5"/>
      <c r="AJF2" s="5"/>
      <c r="AJG2" s="5"/>
      <c r="AJH2" s="5"/>
      <c r="AJI2" s="5"/>
      <c r="AJJ2" s="5"/>
      <c r="AJK2" s="5"/>
      <c r="AJL2" s="5"/>
      <c r="AJM2" s="5"/>
      <c r="AJN2" s="5"/>
      <c r="AJO2" s="5"/>
      <c r="AJP2" s="5"/>
      <c r="AJQ2" s="5"/>
      <c r="AJR2" s="5"/>
      <c r="AJS2" s="5"/>
      <c r="AJT2" s="5"/>
      <c r="AJU2" s="5"/>
      <c r="AJV2" s="5"/>
      <c r="AJW2" s="5"/>
      <c r="AJX2" s="5"/>
      <c r="AJY2" s="5"/>
      <c r="AJZ2" s="5"/>
      <c r="AKA2" s="5"/>
      <c r="AKB2" s="5"/>
      <c r="AKC2" s="5"/>
      <c r="AKD2" s="5"/>
      <c r="AKE2" s="5"/>
      <c r="AKF2" s="5"/>
      <c r="AKG2" s="5"/>
      <c r="AKH2" s="5"/>
      <c r="AKI2" s="5"/>
      <c r="AKJ2" s="5"/>
      <c r="AKK2" s="5"/>
      <c r="AKL2" s="5"/>
      <c r="AKM2" s="5"/>
      <c r="AKN2" s="5"/>
      <c r="AKO2" s="5"/>
      <c r="AKP2" s="5"/>
      <c r="AKQ2" s="5"/>
      <c r="AKR2" s="5"/>
      <c r="AKS2" s="5"/>
      <c r="AKT2" s="5"/>
      <c r="AKU2" s="5"/>
      <c r="AKV2" s="5"/>
      <c r="AKW2" s="5"/>
      <c r="AKX2" s="5"/>
      <c r="AKY2" s="5"/>
      <c r="AKZ2" s="5"/>
      <c r="ALA2" s="5"/>
      <c r="ALB2" s="5"/>
      <c r="ALC2" s="5"/>
      <c r="ALD2" s="5"/>
      <c r="ALE2" s="5"/>
      <c r="ALF2" s="5"/>
      <c r="ALG2" s="5"/>
      <c r="ALH2" s="5"/>
      <c r="ALI2" s="5"/>
      <c r="ALJ2" s="5"/>
      <c r="ALK2" s="5"/>
      <c r="ALL2" s="5"/>
      <c r="ALM2" s="5"/>
      <c r="ALN2" s="5"/>
      <c r="ALO2" s="5"/>
      <c r="ALP2" s="5"/>
      <c r="ALQ2" s="5"/>
      <c r="ALR2" s="5"/>
      <c r="ALS2" s="5"/>
      <c r="ALT2" s="5"/>
      <c r="ALU2" s="5"/>
      <c r="ALV2" s="5"/>
      <c r="ALW2" s="5"/>
      <c r="ALX2" s="5"/>
      <c r="ALY2" s="5"/>
      <c r="ALZ2" s="5"/>
      <c r="AMA2" s="5"/>
      <c r="AMB2" s="5"/>
      <c r="AMC2" s="5"/>
      <c r="AMD2" s="5"/>
      <c r="AME2" s="5"/>
      <c r="AMF2" s="5"/>
      <c r="AMG2" s="5"/>
      <c r="AMH2" s="5"/>
      <c r="AMI2" s="5"/>
      <c r="AMJ2" s="5"/>
    </row>
    <row r="3" spans="1:1024" ht="38.25" x14ac:dyDescent="0.2">
      <c r="A3" s="6" t="s">
        <v>136</v>
      </c>
      <c r="B3" s="5" t="s">
        <v>137</v>
      </c>
      <c r="D3" s="5" t="s">
        <v>138</v>
      </c>
      <c r="E3" s="10">
        <v>43800</v>
      </c>
    </row>
    <row r="4" spans="1:1024" x14ac:dyDescent="0.2">
      <c r="A4" s="6" t="s">
        <v>139</v>
      </c>
      <c r="B4" s="5" t="s">
        <v>140</v>
      </c>
      <c r="C4" s="5" t="s">
        <v>141</v>
      </c>
      <c r="E4" s="10">
        <v>43800</v>
      </c>
    </row>
    <row r="5" spans="1:1024" x14ac:dyDescent="0.2">
      <c r="A5" s="6" t="s">
        <v>142</v>
      </c>
      <c r="B5" s="5" t="s">
        <v>142</v>
      </c>
      <c r="D5" s="33"/>
      <c r="E5" s="10">
        <v>43800</v>
      </c>
    </row>
    <row r="6" spans="1:1024" ht="25.5" x14ac:dyDescent="0.2">
      <c r="A6" s="6" t="s">
        <v>143</v>
      </c>
      <c r="B6" s="5" t="s">
        <v>137</v>
      </c>
      <c r="D6" s="5" t="s">
        <v>144</v>
      </c>
      <c r="E6" s="10">
        <v>43800</v>
      </c>
    </row>
    <row r="7" spans="1:1024" x14ac:dyDescent="0.2">
      <c r="A7" s="6" t="s">
        <v>145</v>
      </c>
      <c r="B7" s="5" t="s">
        <v>146</v>
      </c>
      <c r="D7" s="5" t="s">
        <v>147</v>
      </c>
      <c r="E7" s="10">
        <v>43800</v>
      </c>
    </row>
    <row r="8" spans="1:1024" x14ac:dyDescent="0.2">
      <c r="E8" s="10"/>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J44"/>
  <sheetViews>
    <sheetView workbookViewId="0">
      <pane xSplit="1" ySplit="2" topLeftCell="B3" activePane="bottomRight" state="frozen"/>
      <selection pane="topRight" activeCell="F23" sqref="F23"/>
      <selection pane="bottomLeft" activeCell="F23" sqref="F23"/>
      <selection pane="bottomRight" activeCell="A2" sqref="A2"/>
    </sheetView>
  </sheetViews>
  <sheetFormatPr defaultColWidth="8.625" defaultRowHeight="12.75" x14ac:dyDescent="0.2"/>
  <cols>
    <col min="1" max="1" width="47.625" style="5" customWidth="1"/>
    <col min="2" max="2" width="17.375" style="5" customWidth="1"/>
    <col min="3" max="3" width="56.125" style="5" customWidth="1"/>
    <col min="4" max="4" width="11.625" style="5" customWidth="1"/>
    <col min="5" max="1024" width="69.375" style="5" customWidth="1"/>
    <col min="1025" max="16384" width="8.625" style="18"/>
  </cols>
  <sheetData>
    <row r="1" spans="1:1024" s="12" customFormat="1" x14ac:dyDescent="0.2">
      <c r="A1" s="29" t="str">
        <f>CONCATENATE("Zaakobjecten bij zaaktype ",Zaaktype!B2,": ",Zaaktype!B3)</f>
        <v>Zaakobjecten bij zaaktype 1: Advies verstrekken</v>
      </c>
      <c r="B1" s="29"/>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c r="JW1" s="6"/>
      <c r="JX1" s="6"/>
      <c r="JY1" s="6"/>
      <c r="JZ1" s="6"/>
      <c r="KA1" s="6"/>
      <c r="KB1" s="6"/>
      <c r="KC1" s="6"/>
      <c r="KD1" s="6"/>
      <c r="KE1" s="6"/>
      <c r="KF1" s="6"/>
      <c r="KG1" s="6"/>
      <c r="KH1" s="6"/>
      <c r="KI1" s="6"/>
      <c r="KJ1" s="6"/>
      <c r="KK1" s="6"/>
      <c r="KL1" s="6"/>
      <c r="KM1" s="6"/>
      <c r="KN1" s="6"/>
      <c r="KO1" s="6"/>
      <c r="KP1" s="6"/>
      <c r="KQ1" s="6"/>
      <c r="KR1" s="6"/>
      <c r="KS1" s="6"/>
      <c r="KT1" s="6"/>
      <c r="KU1" s="6"/>
      <c r="KV1" s="6"/>
      <c r="KW1" s="6"/>
      <c r="KX1" s="6"/>
      <c r="KY1" s="6"/>
      <c r="KZ1" s="6"/>
      <c r="LA1" s="6"/>
      <c r="LB1" s="6"/>
      <c r="LC1" s="6"/>
      <c r="LD1" s="6"/>
      <c r="LE1" s="6"/>
      <c r="LF1" s="6"/>
      <c r="LG1" s="6"/>
      <c r="LH1" s="6"/>
      <c r="LI1" s="6"/>
      <c r="LJ1" s="6"/>
      <c r="LK1" s="6"/>
      <c r="LL1" s="6"/>
      <c r="LM1" s="6"/>
      <c r="LN1" s="6"/>
      <c r="LO1" s="6"/>
      <c r="LP1" s="6"/>
      <c r="LQ1" s="6"/>
      <c r="LR1" s="6"/>
      <c r="LS1" s="6"/>
      <c r="LT1" s="6"/>
      <c r="LU1" s="6"/>
      <c r="LV1" s="6"/>
      <c r="LW1" s="6"/>
      <c r="LX1" s="6"/>
      <c r="LY1" s="6"/>
      <c r="LZ1" s="6"/>
      <c r="MA1" s="6"/>
      <c r="MB1" s="6"/>
      <c r="MC1" s="6"/>
      <c r="MD1" s="6"/>
      <c r="ME1" s="6"/>
      <c r="MF1" s="6"/>
      <c r="MG1" s="6"/>
      <c r="MH1" s="6"/>
      <c r="MI1" s="6"/>
      <c r="MJ1" s="6"/>
      <c r="MK1" s="6"/>
      <c r="ML1" s="6"/>
      <c r="MM1" s="6"/>
      <c r="MN1" s="6"/>
      <c r="MO1" s="6"/>
      <c r="MP1" s="6"/>
      <c r="MQ1" s="6"/>
      <c r="MR1" s="6"/>
      <c r="MS1" s="6"/>
      <c r="MT1" s="6"/>
      <c r="MU1" s="6"/>
      <c r="MV1" s="6"/>
      <c r="MW1" s="6"/>
      <c r="MX1" s="6"/>
      <c r="MY1" s="6"/>
      <c r="MZ1" s="6"/>
      <c r="NA1" s="6"/>
      <c r="NB1" s="6"/>
      <c r="NC1" s="6"/>
      <c r="ND1" s="6"/>
      <c r="NE1" s="6"/>
      <c r="NF1" s="6"/>
      <c r="NG1" s="6"/>
      <c r="NH1" s="6"/>
      <c r="NI1" s="6"/>
      <c r="NJ1" s="6"/>
      <c r="NK1" s="6"/>
      <c r="NL1" s="6"/>
      <c r="NM1" s="6"/>
      <c r="NN1" s="6"/>
      <c r="NO1" s="6"/>
      <c r="NP1" s="6"/>
      <c r="NQ1" s="6"/>
      <c r="NR1" s="6"/>
      <c r="NS1" s="6"/>
      <c r="NT1" s="6"/>
      <c r="NU1" s="6"/>
      <c r="NV1" s="6"/>
      <c r="NW1" s="6"/>
      <c r="NX1" s="6"/>
      <c r="NY1" s="6"/>
      <c r="NZ1" s="6"/>
      <c r="OA1" s="6"/>
      <c r="OB1" s="6"/>
      <c r="OC1" s="6"/>
      <c r="OD1" s="6"/>
      <c r="OE1" s="6"/>
      <c r="OF1" s="6"/>
      <c r="OG1" s="6"/>
      <c r="OH1" s="6"/>
      <c r="OI1" s="6"/>
      <c r="OJ1" s="6"/>
      <c r="OK1" s="6"/>
      <c r="OL1" s="6"/>
      <c r="OM1" s="6"/>
      <c r="ON1" s="6"/>
      <c r="OO1" s="6"/>
      <c r="OP1" s="6"/>
      <c r="OQ1" s="6"/>
      <c r="OR1" s="6"/>
      <c r="OS1" s="6"/>
      <c r="OT1" s="6"/>
      <c r="OU1" s="6"/>
      <c r="OV1" s="6"/>
      <c r="OW1" s="6"/>
      <c r="OX1" s="6"/>
      <c r="OY1" s="6"/>
      <c r="OZ1" s="6"/>
      <c r="PA1" s="6"/>
      <c r="PB1" s="6"/>
      <c r="PC1" s="6"/>
      <c r="PD1" s="6"/>
      <c r="PE1" s="6"/>
      <c r="PF1" s="6"/>
      <c r="PG1" s="6"/>
      <c r="PH1" s="6"/>
      <c r="PI1" s="6"/>
      <c r="PJ1" s="6"/>
      <c r="PK1" s="6"/>
      <c r="PL1" s="6"/>
      <c r="PM1" s="6"/>
      <c r="PN1" s="6"/>
      <c r="PO1" s="6"/>
      <c r="PP1" s="6"/>
      <c r="PQ1" s="6"/>
      <c r="PR1" s="6"/>
      <c r="PS1" s="6"/>
      <c r="PT1" s="6"/>
      <c r="PU1" s="6"/>
      <c r="PV1" s="6"/>
      <c r="PW1" s="6"/>
      <c r="PX1" s="6"/>
      <c r="PY1" s="6"/>
      <c r="PZ1" s="6"/>
      <c r="QA1" s="6"/>
      <c r="QB1" s="6"/>
      <c r="QC1" s="6"/>
      <c r="QD1" s="6"/>
      <c r="QE1" s="6"/>
      <c r="QF1" s="6"/>
      <c r="QG1" s="6"/>
      <c r="QH1" s="6"/>
      <c r="QI1" s="6"/>
      <c r="QJ1" s="6"/>
      <c r="QK1" s="6"/>
      <c r="QL1" s="6"/>
      <c r="QM1" s="6"/>
      <c r="QN1" s="6"/>
      <c r="QO1" s="6"/>
      <c r="QP1" s="6"/>
      <c r="QQ1" s="6"/>
      <c r="QR1" s="6"/>
      <c r="QS1" s="6"/>
      <c r="QT1" s="6"/>
      <c r="QU1" s="6"/>
      <c r="QV1" s="6"/>
      <c r="QW1" s="6"/>
      <c r="QX1" s="6"/>
      <c r="QY1" s="6"/>
      <c r="QZ1" s="6"/>
      <c r="RA1" s="6"/>
      <c r="RB1" s="6"/>
      <c r="RC1" s="6"/>
      <c r="RD1" s="6"/>
      <c r="RE1" s="6"/>
      <c r="RF1" s="6"/>
      <c r="RG1" s="6"/>
      <c r="RH1" s="6"/>
      <c r="RI1" s="6"/>
      <c r="RJ1" s="6"/>
      <c r="RK1" s="6"/>
      <c r="RL1" s="6"/>
      <c r="RM1" s="6"/>
      <c r="RN1" s="6"/>
      <c r="RO1" s="6"/>
      <c r="RP1" s="6"/>
      <c r="RQ1" s="6"/>
      <c r="RR1" s="6"/>
      <c r="RS1" s="6"/>
      <c r="RT1" s="6"/>
      <c r="RU1" s="6"/>
      <c r="RV1" s="6"/>
      <c r="RW1" s="6"/>
      <c r="RX1" s="6"/>
      <c r="RY1" s="6"/>
      <c r="RZ1" s="6"/>
      <c r="SA1" s="6"/>
      <c r="SB1" s="6"/>
      <c r="SC1" s="6"/>
      <c r="SD1" s="6"/>
      <c r="SE1" s="6"/>
      <c r="SF1" s="6"/>
      <c r="SG1" s="6"/>
      <c r="SH1" s="6"/>
      <c r="SI1" s="6"/>
      <c r="SJ1" s="6"/>
      <c r="SK1" s="6"/>
      <c r="SL1" s="6"/>
      <c r="SM1" s="6"/>
      <c r="SN1" s="6"/>
      <c r="SO1" s="6"/>
      <c r="SP1" s="6"/>
      <c r="SQ1" s="6"/>
      <c r="SR1" s="6"/>
      <c r="SS1" s="6"/>
      <c r="ST1" s="6"/>
      <c r="SU1" s="6"/>
      <c r="SV1" s="6"/>
      <c r="SW1" s="6"/>
      <c r="SX1" s="6"/>
      <c r="SY1" s="6"/>
      <c r="SZ1" s="6"/>
      <c r="TA1" s="6"/>
      <c r="TB1" s="6"/>
      <c r="TC1" s="6"/>
      <c r="TD1" s="6"/>
      <c r="TE1" s="6"/>
      <c r="TF1" s="6"/>
      <c r="TG1" s="6"/>
      <c r="TH1" s="6"/>
      <c r="TI1" s="6"/>
      <c r="TJ1" s="6"/>
      <c r="TK1" s="6"/>
      <c r="TL1" s="6"/>
      <c r="TM1" s="6"/>
      <c r="TN1" s="6"/>
      <c r="TO1" s="6"/>
      <c r="TP1" s="6"/>
      <c r="TQ1" s="6"/>
      <c r="TR1" s="6"/>
      <c r="TS1" s="6"/>
      <c r="TT1" s="6"/>
      <c r="TU1" s="6"/>
      <c r="TV1" s="6"/>
      <c r="TW1" s="6"/>
      <c r="TX1" s="6"/>
      <c r="TY1" s="6"/>
      <c r="TZ1" s="6"/>
      <c r="UA1" s="6"/>
      <c r="UB1" s="6"/>
      <c r="UC1" s="6"/>
      <c r="UD1" s="6"/>
      <c r="UE1" s="6"/>
      <c r="UF1" s="6"/>
      <c r="UG1" s="6"/>
      <c r="UH1" s="6"/>
      <c r="UI1" s="6"/>
      <c r="UJ1" s="6"/>
      <c r="UK1" s="6"/>
      <c r="UL1" s="6"/>
      <c r="UM1" s="6"/>
      <c r="UN1" s="6"/>
      <c r="UO1" s="6"/>
      <c r="UP1" s="6"/>
      <c r="UQ1" s="6"/>
      <c r="UR1" s="6"/>
      <c r="US1" s="6"/>
      <c r="UT1" s="6"/>
      <c r="UU1" s="6"/>
      <c r="UV1" s="6"/>
      <c r="UW1" s="6"/>
      <c r="UX1" s="6"/>
      <c r="UY1" s="6"/>
      <c r="UZ1" s="6"/>
      <c r="VA1" s="6"/>
      <c r="VB1" s="6"/>
      <c r="VC1" s="6"/>
      <c r="VD1" s="6"/>
      <c r="VE1" s="6"/>
      <c r="VF1" s="6"/>
      <c r="VG1" s="6"/>
      <c r="VH1" s="6"/>
      <c r="VI1" s="6"/>
      <c r="VJ1" s="6"/>
      <c r="VK1" s="6"/>
      <c r="VL1" s="6"/>
      <c r="VM1" s="6"/>
      <c r="VN1" s="6"/>
      <c r="VO1" s="6"/>
      <c r="VP1" s="6"/>
      <c r="VQ1" s="6"/>
      <c r="VR1" s="6"/>
      <c r="VS1" s="6"/>
      <c r="VT1" s="6"/>
      <c r="VU1" s="6"/>
      <c r="VV1" s="6"/>
      <c r="VW1" s="6"/>
      <c r="VX1" s="6"/>
      <c r="VY1" s="6"/>
      <c r="VZ1" s="6"/>
      <c r="WA1" s="6"/>
      <c r="WB1" s="6"/>
      <c r="WC1" s="6"/>
      <c r="WD1" s="6"/>
      <c r="WE1" s="6"/>
      <c r="WF1" s="6"/>
      <c r="WG1" s="6"/>
      <c r="WH1" s="6"/>
      <c r="WI1" s="6"/>
      <c r="WJ1" s="6"/>
      <c r="WK1" s="6"/>
      <c r="WL1" s="6"/>
      <c r="WM1" s="6"/>
      <c r="WN1" s="6"/>
      <c r="WO1" s="6"/>
      <c r="WP1" s="6"/>
      <c r="WQ1" s="6"/>
      <c r="WR1" s="6"/>
      <c r="WS1" s="6"/>
      <c r="WT1" s="6"/>
      <c r="WU1" s="6"/>
      <c r="WV1" s="6"/>
      <c r="WW1" s="6"/>
      <c r="WX1" s="6"/>
      <c r="WY1" s="6"/>
      <c r="WZ1" s="6"/>
      <c r="XA1" s="6"/>
      <c r="XB1" s="6"/>
      <c r="XC1" s="6"/>
      <c r="XD1" s="6"/>
      <c r="XE1" s="6"/>
      <c r="XF1" s="6"/>
      <c r="XG1" s="6"/>
      <c r="XH1" s="6"/>
      <c r="XI1" s="6"/>
      <c r="XJ1" s="6"/>
      <c r="XK1" s="6"/>
      <c r="XL1" s="6"/>
      <c r="XM1" s="6"/>
      <c r="XN1" s="6"/>
      <c r="XO1" s="6"/>
      <c r="XP1" s="6"/>
      <c r="XQ1" s="6"/>
      <c r="XR1" s="6"/>
      <c r="XS1" s="6"/>
      <c r="XT1" s="6"/>
      <c r="XU1" s="6"/>
      <c r="XV1" s="6"/>
      <c r="XW1" s="6"/>
      <c r="XX1" s="6"/>
      <c r="XY1" s="6"/>
      <c r="XZ1" s="6"/>
      <c r="YA1" s="6"/>
      <c r="YB1" s="6"/>
      <c r="YC1" s="6"/>
      <c r="YD1" s="6"/>
      <c r="YE1" s="6"/>
      <c r="YF1" s="6"/>
      <c r="YG1" s="6"/>
      <c r="YH1" s="6"/>
      <c r="YI1" s="6"/>
      <c r="YJ1" s="6"/>
      <c r="YK1" s="6"/>
      <c r="YL1" s="6"/>
      <c r="YM1" s="6"/>
      <c r="YN1" s="6"/>
      <c r="YO1" s="6"/>
      <c r="YP1" s="6"/>
      <c r="YQ1" s="6"/>
      <c r="YR1" s="6"/>
      <c r="YS1" s="6"/>
      <c r="YT1" s="6"/>
      <c r="YU1" s="6"/>
      <c r="YV1" s="6"/>
      <c r="YW1" s="6"/>
      <c r="YX1" s="6"/>
      <c r="YY1" s="6"/>
      <c r="YZ1" s="6"/>
      <c r="ZA1" s="6"/>
      <c r="ZB1" s="6"/>
      <c r="ZC1" s="6"/>
      <c r="ZD1" s="6"/>
      <c r="ZE1" s="6"/>
      <c r="ZF1" s="6"/>
      <c r="ZG1" s="6"/>
      <c r="ZH1" s="6"/>
      <c r="ZI1" s="6"/>
      <c r="ZJ1" s="6"/>
      <c r="ZK1" s="6"/>
      <c r="ZL1" s="6"/>
      <c r="ZM1" s="6"/>
      <c r="ZN1" s="6"/>
      <c r="ZO1" s="6"/>
      <c r="ZP1" s="6"/>
      <c r="ZQ1" s="6"/>
      <c r="ZR1" s="6"/>
      <c r="ZS1" s="6"/>
      <c r="ZT1" s="6"/>
      <c r="ZU1" s="6"/>
      <c r="ZV1" s="6"/>
      <c r="ZW1" s="6"/>
      <c r="ZX1" s="6"/>
      <c r="ZY1" s="6"/>
      <c r="ZZ1" s="6"/>
      <c r="AAA1" s="6"/>
      <c r="AAB1" s="6"/>
      <c r="AAC1" s="6"/>
      <c r="AAD1" s="6"/>
      <c r="AAE1" s="6"/>
      <c r="AAF1" s="6"/>
      <c r="AAG1" s="6"/>
      <c r="AAH1" s="6"/>
      <c r="AAI1" s="6"/>
      <c r="AAJ1" s="6"/>
      <c r="AAK1" s="6"/>
      <c r="AAL1" s="6"/>
      <c r="AAM1" s="6"/>
      <c r="AAN1" s="6"/>
      <c r="AAO1" s="6"/>
      <c r="AAP1" s="6"/>
      <c r="AAQ1" s="6"/>
      <c r="AAR1" s="6"/>
      <c r="AAS1" s="6"/>
      <c r="AAT1" s="6"/>
      <c r="AAU1" s="6"/>
      <c r="AAV1" s="6"/>
      <c r="AAW1" s="6"/>
      <c r="AAX1" s="6"/>
      <c r="AAY1" s="6"/>
      <c r="AAZ1" s="6"/>
      <c r="ABA1" s="6"/>
      <c r="ABB1" s="6"/>
      <c r="ABC1" s="6"/>
      <c r="ABD1" s="6"/>
      <c r="ABE1" s="6"/>
      <c r="ABF1" s="6"/>
      <c r="ABG1" s="6"/>
      <c r="ABH1" s="6"/>
      <c r="ABI1" s="6"/>
      <c r="ABJ1" s="6"/>
      <c r="ABK1" s="6"/>
      <c r="ABL1" s="6"/>
      <c r="ABM1" s="6"/>
      <c r="ABN1" s="6"/>
      <c r="ABO1" s="6"/>
      <c r="ABP1" s="6"/>
      <c r="ABQ1" s="6"/>
      <c r="ABR1" s="6"/>
      <c r="ABS1" s="6"/>
      <c r="ABT1" s="6"/>
      <c r="ABU1" s="6"/>
      <c r="ABV1" s="6"/>
      <c r="ABW1" s="6"/>
      <c r="ABX1" s="6"/>
      <c r="ABY1" s="6"/>
      <c r="ABZ1" s="6"/>
      <c r="ACA1" s="6"/>
      <c r="ACB1" s="6"/>
      <c r="ACC1" s="6"/>
      <c r="ACD1" s="6"/>
      <c r="ACE1" s="6"/>
      <c r="ACF1" s="6"/>
      <c r="ACG1" s="6"/>
      <c r="ACH1" s="6"/>
      <c r="ACI1" s="6"/>
      <c r="ACJ1" s="6"/>
      <c r="ACK1" s="6"/>
      <c r="ACL1" s="6"/>
      <c r="ACM1" s="6"/>
      <c r="ACN1" s="6"/>
      <c r="ACO1" s="6"/>
      <c r="ACP1" s="6"/>
      <c r="ACQ1" s="6"/>
      <c r="ACR1" s="6"/>
      <c r="ACS1" s="6"/>
      <c r="ACT1" s="6"/>
      <c r="ACU1" s="6"/>
      <c r="ACV1" s="6"/>
      <c r="ACW1" s="6"/>
      <c r="ACX1" s="6"/>
      <c r="ACY1" s="6"/>
      <c r="ACZ1" s="6"/>
      <c r="ADA1" s="6"/>
      <c r="ADB1" s="6"/>
      <c r="ADC1" s="6"/>
      <c r="ADD1" s="6"/>
      <c r="ADE1" s="6"/>
      <c r="ADF1" s="6"/>
      <c r="ADG1" s="6"/>
      <c r="ADH1" s="6"/>
      <c r="ADI1" s="6"/>
      <c r="ADJ1" s="6"/>
      <c r="ADK1" s="6"/>
      <c r="ADL1" s="6"/>
      <c r="ADM1" s="6"/>
      <c r="ADN1" s="6"/>
      <c r="ADO1" s="6"/>
      <c r="ADP1" s="6"/>
      <c r="ADQ1" s="6"/>
      <c r="ADR1" s="6"/>
      <c r="ADS1" s="6"/>
      <c r="ADT1" s="6"/>
      <c r="ADU1" s="6"/>
      <c r="ADV1" s="6"/>
      <c r="ADW1" s="6"/>
      <c r="ADX1" s="6"/>
      <c r="ADY1" s="6"/>
      <c r="ADZ1" s="6"/>
      <c r="AEA1" s="6"/>
      <c r="AEB1" s="6"/>
      <c r="AEC1" s="6"/>
      <c r="AED1" s="6"/>
      <c r="AEE1" s="6"/>
      <c r="AEF1" s="6"/>
      <c r="AEG1" s="6"/>
      <c r="AEH1" s="6"/>
      <c r="AEI1" s="6"/>
      <c r="AEJ1" s="6"/>
      <c r="AEK1" s="6"/>
      <c r="AEL1" s="6"/>
      <c r="AEM1" s="6"/>
      <c r="AEN1" s="6"/>
      <c r="AEO1" s="6"/>
      <c r="AEP1" s="6"/>
      <c r="AEQ1" s="6"/>
      <c r="AER1" s="6"/>
      <c r="AES1" s="6"/>
      <c r="AET1" s="6"/>
      <c r="AEU1" s="6"/>
      <c r="AEV1" s="6"/>
      <c r="AEW1" s="6"/>
      <c r="AEX1" s="6"/>
      <c r="AEY1" s="6"/>
      <c r="AEZ1" s="6"/>
      <c r="AFA1" s="6"/>
      <c r="AFB1" s="6"/>
      <c r="AFC1" s="6"/>
      <c r="AFD1" s="6"/>
      <c r="AFE1" s="6"/>
      <c r="AFF1" s="6"/>
      <c r="AFG1" s="6"/>
      <c r="AFH1" s="6"/>
      <c r="AFI1" s="6"/>
      <c r="AFJ1" s="6"/>
      <c r="AFK1" s="6"/>
      <c r="AFL1" s="6"/>
      <c r="AFM1" s="6"/>
      <c r="AFN1" s="6"/>
      <c r="AFO1" s="6"/>
      <c r="AFP1" s="6"/>
      <c r="AFQ1" s="6"/>
      <c r="AFR1" s="6"/>
      <c r="AFS1" s="6"/>
      <c r="AFT1" s="6"/>
      <c r="AFU1" s="6"/>
      <c r="AFV1" s="6"/>
      <c r="AFW1" s="6"/>
      <c r="AFX1" s="6"/>
      <c r="AFY1" s="6"/>
      <c r="AFZ1" s="6"/>
      <c r="AGA1" s="6"/>
      <c r="AGB1" s="6"/>
      <c r="AGC1" s="6"/>
      <c r="AGD1" s="6"/>
      <c r="AGE1" s="6"/>
      <c r="AGF1" s="6"/>
      <c r="AGG1" s="6"/>
      <c r="AGH1" s="6"/>
      <c r="AGI1" s="6"/>
      <c r="AGJ1" s="6"/>
      <c r="AGK1" s="6"/>
      <c r="AGL1" s="6"/>
      <c r="AGM1" s="6"/>
      <c r="AGN1" s="6"/>
      <c r="AGO1" s="6"/>
      <c r="AGP1" s="6"/>
      <c r="AGQ1" s="6"/>
      <c r="AGR1" s="6"/>
      <c r="AGS1" s="6"/>
      <c r="AGT1" s="6"/>
      <c r="AGU1" s="6"/>
      <c r="AGV1" s="6"/>
      <c r="AGW1" s="6"/>
      <c r="AGX1" s="6"/>
      <c r="AGY1" s="6"/>
      <c r="AGZ1" s="6"/>
      <c r="AHA1" s="6"/>
      <c r="AHB1" s="6"/>
      <c r="AHC1" s="6"/>
      <c r="AHD1" s="6"/>
      <c r="AHE1" s="6"/>
      <c r="AHF1" s="6"/>
      <c r="AHG1" s="6"/>
      <c r="AHH1" s="6"/>
      <c r="AHI1" s="6"/>
      <c r="AHJ1" s="6"/>
      <c r="AHK1" s="6"/>
      <c r="AHL1" s="6"/>
      <c r="AHM1" s="6"/>
      <c r="AHN1" s="6"/>
      <c r="AHO1" s="6"/>
      <c r="AHP1" s="6"/>
      <c r="AHQ1" s="6"/>
      <c r="AHR1" s="6"/>
      <c r="AHS1" s="6"/>
      <c r="AHT1" s="6"/>
      <c r="AHU1" s="6"/>
      <c r="AHV1" s="6"/>
      <c r="AHW1" s="6"/>
      <c r="AHX1" s="6"/>
      <c r="AHY1" s="6"/>
      <c r="AHZ1" s="6"/>
      <c r="AIA1" s="6"/>
      <c r="AIB1" s="6"/>
      <c r="AIC1" s="6"/>
      <c r="AID1" s="6"/>
      <c r="AIE1" s="6"/>
      <c r="AIF1" s="6"/>
      <c r="AIG1" s="6"/>
      <c r="AIH1" s="6"/>
      <c r="AII1" s="6"/>
      <c r="AIJ1" s="6"/>
      <c r="AIK1" s="6"/>
      <c r="AIL1" s="6"/>
      <c r="AIM1" s="6"/>
      <c r="AIN1" s="6"/>
      <c r="AIO1" s="6"/>
      <c r="AIP1" s="6"/>
      <c r="AIQ1" s="6"/>
      <c r="AIR1" s="6"/>
      <c r="AIS1" s="6"/>
      <c r="AIT1" s="6"/>
      <c r="AIU1" s="6"/>
      <c r="AIV1" s="6"/>
      <c r="AIW1" s="6"/>
      <c r="AIX1" s="6"/>
      <c r="AIY1" s="6"/>
      <c r="AIZ1" s="6"/>
      <c r="AJA1" s="6"/>
      <c r="AJB1" s="6"/>
      <c r="AJC1" s="6"/>
      <c r="AJD1" s="6"/>
      <c r="AJE1" s="6"/>
      <c r="AJF1" s="6"/>
      <c r="AJG1" s="6"/>
      <c r="AJH1" s="6"/>
      <c r="AJI1" s="6"/>
      <c r="AJJ1" s="6"/>
      <c r="AJK1" s="6"/>
      <c r="AJL1" s="6"/>
      <c r="AJM1" s="6"/>
      <c r="AJN1" s="6"/>
      <c r="AJO1" s="6"/>
      <c r="AJP1" s="6"/>
      <c r="AJQ1" s="6"/>
      <c r="AJR1" s="6"/>
      <c r="AJS1" s="6"/>
      <c r="AJT1" s="6"/>
      <c r="AJU1" s="6"/>
      <c r="AJV1" s="6"/>
      <c r="AJW1" s="6"/>
      <c r="AJX1" s="6"/>
      <c r="AJY1" s="6"/>
      <c r="AJZ1" s="6"/>
      <c r="AKA1" s="6"/>
      <c r="AKB1" s="6"/>
      <c r="AKC1" s="6"/>
      <c r="AKD1" s="6"/>
      <c r="AKE1" s="6"/>
      <c r="AKF1" s="6"/>
      <c r="AKG1" s="6"/>
      <c r="AKH1" s="6"/>
      <c r="AKI1" s="6"/>
      <c r="AKJ1" s="6"/>
      <c r="AKK1" s="6"/>
      <c r="AKL1" s="6"/>
      <c r="AKM1" s="6"/>
      <c r="AKN1" s="6"/>
      <c r="AKO1" s="6"/>
      <c r="AKP1" s="6"/>
      <c r="AKQ1" s="6"/>
      <c r="AKR1" s="6"/>
      <c r="AKS1" s="6"/>
      <c r="AKT1" s="6"/>
      <c r="AKU1" s="6"/>
      <c r="AKV1" s="6"/>
      <c r="AKW1" s="6"/>
      <c r="AKX1" s="6"/>
      <c r="AKY1" s="6"/>
      <c r="AKZ1" s="6"/>
      <c r="ALA1" s="6"/>
      <c r="ALB1" s="6"/>
      <c r="ALC1" s="6"/>
      <c r="ALD1" s="6"/>
      <c r="ALE1" s="6"/>
      <c r="ALF1" s="6"/>
      <c r="ALG1" s="6"/>
      <c r="ALH1" s="6"/>
      <c r="ALI1" s="6"/>
      <c r="ALJ1" s="6"/>
      <c r="ALK1" s="6"/>
      <c r="ALL1" s="6"/>
      <c r="ALM1" s="6"/>
      <c r="ALN1" s="6"/>
      <c r="ALO1" s="6"/>
      <c r="ALP1" s="6"/>
      <c r="ALQ1" s="6"/>
      <c r="ALR1" s="6"/>
      <c r="ALS1" s="6"/>
      <c r="ALT1" s="6"/>
      <c r="ALU1" s="6"/>
      <c r="ALV1" s="6"/>
      <c r="ALW1" s="6"/>
      <c r="ALX1" s="6"/>
      <c r="ALY1" s="6"/>
      <c r="ALZ1" s="6"/>
      <c r="AMA1" s="6"/>
      <c r="AMB1" s="6"/>
      <c r="AMC1" s="6"/>
      <c r="AMD1" s="6"/>
      <c r="AME1" s="6"/>
      <c r="AMF1" s="6"/>
      <c r="AMG1" s="6"/>
      <c r="AMH1" s="6"/>
      <c r="AMI1" s="6"/>
      <c r="AMJ1" s="6"/>
    </row>
    <row r="2" spans="1:1024" ht="25.5" x14ac:dyDescent="0.2">
      <c r="A2" s="4" t="s">
        <v>148</v>
      </c>
      <c r="B2" s="4" t="s">
        <v>149</v>
      </c>
      <c r="C2" s="4" t="s">
        <v>150</v>
      </c>
      <c r="D2" s="4" t="s">
        <v>67</v>
      </c>
    </row>
    <row r="3" spans="1:1024" x14ac:dyDescent="0.2">
      <c r="A3" s="5" t="s">
        <v>151</v>
      </c>
      <c r="B3" s="5" t="s">
        <v>152</v>
      </c>
      <c r="C3" s="5" t="s">
        <v>153</v>
      </c>
      <c r="D3" s="7">
        <v>43800</v>
      </c>
    </row>
    <row r="4" spans="1:1024" x14ac:dyDescent="0.2">
      <c r="A4" s="5" t="s">
        <v>154</v>
      </c>
      <c r="B4" s="5" t="s">
        <v>152</v>
      </c>
      <c r="C4" s="5" t="s">
        <v>155</v>
      </c>
      <c r="D4" s="7">
        <v>43800</v>
      </c>
    </row>
    <row r="5" spans="1:1024" x14ac:dyDescent="0.2">
      <c r="A5" s="5" t="s">
        <v>156</v>
      </c>
      <c r="B5" s="5" t="s">
        <v>152</v>
      </c>
      <c r="C5" s="5" t="s">
        <v>157</v>
      </c>
      <c r="D5" s="7">
        <v>43800</v>
      </c>
    </row>
    <row r="6" spans="1:1024" x14ac:dyDescent="0.2">
      <c r="A6" s="5" t="s">
        <v>158</v>
      </c>
      <c r="B6" s="5" t="s">
        <v>152</v>
      </c>
      <c r="C6" s="5" t="s">
        <v>159</v>
      </c>
      <c r="D6" s="7">
        <v>43800</v>
      </c>
    </row>
    <row r="7" spans="1:1024" x14ac:dyDescent="0.2">
      <c r="A7" s="5" t="s">
        <v>160</v>
      </c>
      <c r="B7" s="5" t="s">
        <v>152</v>
      </c>
      <c r="C7" s="5" t="s">
        <v>161</v>
      </c>
      <c r="D7" s="7">
        <v>43800</v>
      </c>
    </row>
    <row r="8" spans="1:1024" x14ac:dyDescent="0.2">
      <c r="A8" s="5" t="s">
        <v>162</v>
      </c>
      <c r="B8" s="5" t="s">
        <v>152</v>
      </c>
      <c r="C8" s="5" t="s">
        <v>163</v>
      </c>
      <c r="D8" s="7">
        <v>43800</v>
      </c>
    </row>
    <row r="9" spans="1:1024" x14ac:dyDescent="0.2">
      <c r="A9" s="5" t="s">
        <v>164</v>
      </c>
      <c r="B9" s="5" t="s">
        <v>152</v>
      </c>
      <c r="C9" s="5" t="s">
        <v>165</v>
      </c>
      <c r="D9" s="7">
        <v>43800</v>
      </c>
    </row>
    <row r="10" spans="1:1024" x14ac:dyDescent="0.2">
      <c r="A10" s="5" t="s">
        <v>166</v>
      </c>
      <c r="B10" s="5" t="s">
        <v>152</v>
      </c>
      <c r="C10" s="5" t="s">
        <v>167</v>
      </c>
      <c r="D10" s="7">
        <v>43800</v>
      </c>
    </row>
    <row r="11" spans="1:1024" x14ac:dyDescent="0.2">
      <c r="A11" s="5" t="s">
        <v>168</v>
      </c>
      <c r="B11" s="5" t="s">
        <v>152</v>
      </c>
      <c r="C11" s="5" t="s">
        <v>169</v>
      </c>
      <c r="D11" s="7">
        <v>43800</v>
      </c>
    </row>
    <row r="12" spans="1:1024" x14ac:dyDescent="0.2">
      <c r="A12" s="5" t="s">
        <v>170</v>
      </c>
      <c r="B12" s="5" t="s">
        <v>152</v>
      </c>
      <c r="C12" s="5" t="s">
        <v>171</v>
      </c>
      <c r="D12" s="7">
        <v>43800</v>
      </c>
    </row>
    <row r="13" spans="1:1024" x14ac:dyDescent="0.2">
      <c r="A13" s="5" t="s">
        <v>172</v>
      </c>
      <c r="B13" s="5" t="s">
        <v>152</v>
      </c>
      <c r="C13" s="5" t="s">
        <v>173</v>
      </c>
      <c r="D13" s="7">
        <v>43800</v>
      </c>
    </row>
    <row r="14" spans="1:1024" x14ac:dyDescent="0.2">
      <c r="A14" s="5" t="s">
        <v>174</v>
      </c>
      <c r="B14" s="5" t="s">
        <v>152</v>
      </c>
      <c r="C14" s="5" t="s">
        <v>175</v>
      </c>
      <c r="D14" s="7">
        <v>43800</v>
      </c>
    </row>
    <row r="15" spans="1:1024" x14ac:dyDescent="0.2">
      <c r="A15" s="5" t="s">
        <v>176</v>
      </c>
      <c r="B15" s="5" t="s">
        <v>152</v>
      </c>
      <c r="C15" s="5" t="s">
        <v>177</v>
      </c>
      <c r="D15" s="7">
        <v>43800</v>
      </c>
    </row>
    <row r="16" spans="1:1024" x14ac:dyDescent="0.2">
      <c r="A16" s="5" t="s">
        <v>178</v>
      </c>
      <c r="B16" s="5" t="s">
        <v>152</v>
      </c>
      <c r="C16" s="5" t="s">
        <v>179</v>
      </c>
      <c r="D16" s="7">
        <v>43800</v>
      </c>
    </row>
    <row r="17" spans="1:4" x14ac:dyDescent="0.2">
      <c r="A17" s="5" t="s">
        <v>180</v>
      </c>
      <c r="B17" s="5" t="s">
        <v>152</v>
      </c>
      <c r="C17" s="5" t="s">
        <v>181</v>
      </c>
      <c r="D17" s="7">
        <v>43800</v>
      </c>
    </row>
    <row r="18" spans="1:4" x14ac:dyDescent="0.2">
      <c r="A18" s="5" t="s">
        <v>182</v>
      </c>
      <c r="B18" s="5" t="s">
        <v>152</v>
      </c>
      <c r="C18" s="5" t="s">
        <v>183</v>
      </c>
      <c r="D18" s="7">
        <v>43800</v>
      </c>
    </row>
    <row r="19" spans="1:4" x14ac:dyDescent="0.2">
      <c r="A19" s="5" t="s">
        <v>184</v>
      </c>
      <c r="B19" s="5" t="s">
        <v>152</v>
      </c>
      <c r="C19" s="5" t="s">
        <v>185</v>
      </c>
      <c r="D19" s="7">
        <v>43800</v>
      </c>
    </row>
    <row r="20" spans="1:4" x14ac:dyDescent="0.2">
      <c r="A20" s="5" t="s">
        <v>186</v>
      </c>
      <c r="B20" s="5" t="s">
        <v>152</v>
      </c>
      <c r="C20" s="5" t="s">
        <v>187</v>
      </c>
      <c r="D20" s="7">
        <v>43800</v>
      </c>
    </row>
    <row r="21" spans="1:4" x14ac:dyDescent="0.2">
      <c r="A21" s="5" t="s">
        <v>188</v>
      </c>
      <c r="B21" s="5" t="s">
        <v>152</v>
      </c>
      <c r="C21" s="5" t="s">
        <v>189</v>
      </c>
      <c r="D21" s="7">
        <v>43800</v>
      </c>
    </row>
    <row r="22" spans="1:4" x14ac:dyDescent="0.2">
      <c r="A22" s="5" t="s">
        <v>190</v>
      </c>
      <c r="B22" s="5" t="s">
        <v>152</v>
      </c>
      <c r="C22" s="5" t="s">
        <v>191</v>
      </c>
      <c r="D22" s="7">
        <v>43800</v>
      </c>
    </row>
    <row r="23" spans="1:4" x14ac:dyDescent="0.2">
      <c r="A23" s="5" t="s">
        <v>192</v>
      </c>
      <c r="B23" s="5" t="s">
        <v>152</v>
      </c>
      <c r="C23" s="5" t="s">
        <v>193</v>
      </c>
      <c r="D23" s="7">
        <v>43800</v>
      </c>
    </row>
    <row r="24" spans="1:4" x14ac:dyDescent="0.2">
      <c r="A24" s="5" t="s">
        <v>194</v>
      </c>
      <c r="B24" s="5" t="s">
        <v>152</v>
      </c>
      <c r="C24" s="5" t="s">
        <v>195</v>
      </c>
      <c r="D24" s="7">
        <v>43800</v>
      </c>
    </row>
    <row r="25" spans="1:4" x14ac:dyDescent="0.2">
      <c r="A25" s="5" t="s">
        <v>196</v>
      </c>
      <c r="B25" s="5" t="s">
        <v>152</v>
      </c>
      <c r="C25" s="5" t="s">
        <v>197</v>
      </c>
      <c r="D25" s="7">
        <v>43800</v>
      </c>
    </row>
    <row r="26" spans="1:4" x14ac:dyDescent="0.2">
      <c r="A26" s="5" t="s">
        <v>198</v>
      </c>
      <c r="B26" s="5" t="s">
        <v>152</v>
      </c>
      <c r="C26" s="5" t="s">
        <v>199</v>
      </c>
      <c r="D26" s="7">
        <v>43800</v>
      </c>
    </row>
    <row r="27" spans="1:4" x14ac:dyDescent="0.2">
      <c r="A27" s="5" t="s">
        <v>200</v>
      </c>
      <c r="B27" s="5" t="s">
        <v>152</v>
      </c>
      <c r="C27" s="5" t="s">
        <v>201</v>
      </c>
      <c r="D27" s="7">
        <v>43800</v>
      </c>
    </row>
    <row r="28" spans="1:4" x14ac:dyDescent="0.2">
      <c r="A28" s="5" t="s">
        <v>202</v>
      </c>
      <c r="B28" s="5" t="s">
        <v>152</v>
      </c>
      <c r="C28" s="5" t="s">
        <v>203</v>
      </c>
      <c r="D28" s="7">
        <v>43800</v>
      </c>
    </row>
    <row r="29" spans="1:4" x14ac:dyDescent="0.2">
      <c r="A29" s="5" t="s">
        <v>204</v>
      </c>
      <c r="B29" s="5" t="s">
        <v>152</v>
      </c>
      <c r="C29" s="5" t="s">
        <v>205</v>
      </c>
      <c r="D29" s="7">
        <v>43800</v>
      </c>
    </row>
    <row r="30" spans="1:4" x14ac:dyDescent="0.2">
      <c r="A30" s="5" t="s">
        <v>206</v>
      </c>
      <c r="B30" s="5" t="s">
        <v>152</v>
      </c>
      <c r="C30" s="5" t="s">
        <v>207</v>
      </c>
      <c r="D30" s="7">
        <v>43800</v>
      </c>
    </row>
    <row r="31" spans="1:4" x14ac:dyDescent="0.2">
      <c r="A31" s="5" t="s">
        <v>208</v>
      </c>
      <c r="B31" s="5" t="s">
        <v>152</v>
      </c>
      <c r="C31" s="5" t="s">
        <v>209</v>
      </c>
      <c r="D31" s="7">
        <v>43800</v>
      </c>
    </row>
    <row r="32" spans="1:4" x14ac:dyDescent="0.2">
      <c r="A32" s="5" t="s">
        <v>210</v>
      </c>
      <c r="B32" s="5" t="s">
        <v>152</v>
      </c>
      <c r="C32" s="5" t="s">
        <v>211</v>
      </c>
      <c r="D32" s="7">
        <v>43800</v>
      </c>
    </row>
    <row r="33" spans="1:4" x14ac:dyDescent="0.2">
      <c r="A33" s="5" t="s">
        <v>212</v>
      </c>
      <c r="B33" s="5" t="s">
        <v>152</v>
      </c>
      <c r="C33" s="5" t="s">
        <v>213</v>
      </c>
      <c r="D33" s="7">
        <v>43800</v>
      </c>
    </row>
    <row r="34" spans="1:4" x14ac:dyDescent="0.2">
      <c r="A34" s="5" t="s">
        <v>214</v>
      </c>
      <c r="B34" s="5" t="s">
        <v>152</v>
      </c>
      <c r="C34" s="5" t="s">
        <v>215</v>
      </c>
      <c r="D34" s="7">
        <v>43800</v>
      </c>
    </row>
    <row r="35" spans="1:4" x14ac:dyDescent="0.2">
      <c r="A35" s="5" t="s">
        <v>216</v>
      </c>
      <c r="B35" s="5" t="s">
        <v>152</v>
      </c>
      <c r="C35" s="5" t="s">
        <v>217</v>
      </c>
      <c r="D35" s="7">
        <v>43800</v>
      </c>
    </row>
    <row r="36" spans="1:4" ht="51" x14ac:dyDescent="0.2">
      <c r="A36" s="5" t="s">
        <v>218</v>
      </c>
      <c r="B36" s="5" t="s">
        <v>219</v>
      </c>
      <c r="C36" s="5" t="s">
        <v>220</v>
      </c>
      <c r="D36" s="7">
        <v>43800</v>
      </c>
    </row>
    <row r="37" spans="1:4" x14ac:dyDescent="0.2">
      <c r="A37" s="5" t="s">
        <v>221</v>
      </c>
      <c r="B37" s="5" t="s">
        <v>152</v>
      </c>
      <c r="C37" s="5" t="s">
        <v>222</v>
      </c>
      <c r="D37" s="7">
        <v>43800</v>
      </c>
    </row>
    <row r="38" spans="1:4" x14ac:dyDescent="0.2">
      <c r="A38" s="5" t="s">
        <v>223</v>
      </c>
      <c r="B38" s="5" t="s">
        <v>152</v>
      </c>
      <c r="C38" s="5" t="s">
        <v>224</v>
      </c>
      <c r="D38" s="7">
        <v>43800</v>
      </c>
    </row>
    <row r="39" spans="1:4" x14ac:dyDescent="0.2">
      <c r="A39" s="5" t="s">
        <v>225</v>
      </c>
      <c r="B39" s="5" t="s">
        <v>152</v>
      </c>
      <c r="C39" s="5" t="s">
        <v>226</v>
      </c>
      <c r="D39" s="7">
        <v>43800</v>
      </c>
    </row>
    <row r="40" spans="1:4" x14ac:dyDescent="0.2">
      <c r="A40" s="5" t="s">
        <v>227</v>
      </c>
      <c r="B40" s="5" t="s">
        <v>152</v>
      </c>
      <c r="C40" s="5" t="s">
        <v>228</v>
      </c>
      <c r="D40" s="7">
        <v>43800</v>
      </c>
    </row>
    <row r="41" spans="1:4" x14ac:dyDescent="0.2">
      <c r="A41" s="5" t="s">
        <v>229</v>
      </c>
      <c r="B41" s="5" t="s">
        <v>152</v>
      </c>
      <c r="C41" s="5" t="s">
        <v>230</v>
      </c>
      <c r="D41" s="7">
        <v>43800</v>
      </c>
    </row>
    <row r="42" spans="1:4" x14ac:dyDescent="0.2">
      <c r="A42" s="5" t="s">
        <v>231</v>
      </c>
      <c r="B42" s="5" t="s">
        <v>152</v>
      </c>
      <c r="C42" s="5" t="s">
        <v>232</v>
      </c>
      <c r="D42" s="7">
        <v>43800</v>
      </c>
    </row>
    <row r="43" spans="1:4" x14ac:dyDescent="0.2">
      <c r="A43" s="5" t="s">
        <v>233</v>
      </c>
      <c r="B43" s="5" t="s">
        <v>152</v>
      </c>
      <c r="C43" s="5" t="s">
        <v>234</v>
      </c>
      <c r="D43" s="7">
        <v>43800</v>
      </c>
    </row>
    <row r="44" spans="1:4" x14ac:dyDescent="0.2">
      <c r="A44" s="5" t="s">
        <v>235</v>
      </c>
      <c r="B44" s="5" t="s">
        <v>152</v>
      </c>
      <c r="C44" s="5" t="s">
        <v>236</v>
      </c>
      <c r="D44" s="7">
        <v>43800</v>
      </c>
    </row>
  </sheetData>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M4"/>
  <sheetViews>
    <sheetView zoomScale="85" zoomScaleNormal="85" workbookViewId="0">
      <pane xSplit="1" ySplit="2" topLeftCell="B3" activePane="bottomRight" state="frozen"/>
      <selection pane="topRight" activeCell="F23" sqref="F23"/>
      <selection pane="bottomLeft" activeCell="F23" sqref="F23"/>
      <selection pane="bottomRight" activeCell="A2" sqref="A2"/>
    </sheetView>
  </sheetViews>
  <sheetFormatPr defaultColWidth="8.625" defaultRowHeight="12.75" x14ac:dyDescent="0.2"/>
  <cols>
    <col min="1" max="1" width="22.625" style="5" customWidth="1"/>
    <col min="2" max="2" width="50.375" style="5" customWidth="1"/>
    <col min="3" max="3" width="23.625" style="5" customWidth="1"/>
    <col min="4" max="5" width="10.125" style="5" customWidth="1"/>
    <col min="6" max="6" width="11.125" style="5" customWidth="1"/>
    <col min="7" max="7" width="20.875" style="5" customWidth="1"/>
    <col min="8" max="8" width="56.625" style="5" customWidth="1"/>
    <col min="9" max="9" width="24.625" style="5" customWidth="1"/>
    <col min="10" max="1027" width="56.625" style="5" customWidth="1"/>
    <col min="1028" max="16384" width="8.625" style="18"/>
  </cols>
  <sheetData>
    <row r="1" spans="1:1027" s="12" customFormat="1" x14ac:dyDescent="0.2">
      <c r="A1" s="29" t="str">
        <f>CONCATENATE("Eigenschappen bij zaaktype ",Zaaktype!B2,": ",Zaaktype!B3)</f>
        <v>Eigenschappen bij zaaktype 1: Advies verstrekken</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c r="JW1" s="6"/>
      <c r="JX1" s="6"/>
      <c r="JY1" s="6"/>
      <c r="JZ1" s="6"/>
      <c r="KA1" s="6"/>
      <c r="KB1" s="6"/>
      <c r="KC1" s="6"/>
      <c r="KD1" s="6"/>
      <c r="KE1" s="6"/>
      <c r="KF1" s="6"/>
      <c r="KG1" s="6"/>
      <c r="KH1" s="6"/>
      <c r="KI1" s="6"/>
      <c r="KJ1" s="6"/>
      <c r="KK1" s="6"/>
      <c r="KL1" s="6"/>
      <c r="KM1" s="6"/>
      <c r="KN1" s="6"/>
      <c r="KO1" s="6"/>
      <c r="KP1" s="6"/>
      <c r="KQ1" s="6"/>
      <c r="KR1" s="6"/>
      <c r="KS1" s="6"/>
      <c r="KT1" s="6"/>
      <c r="KU1" s="6"/>
      <c r="KV1" s="6"/>
      <c r="KW1" s="6"/>
      <c r="KX1" s="6"/>
      <c r="KY1" s="6"/>
      <c r="KZ1" s="6"/>
      <c r="LA1" s="6"/>
      <c r="LB1" s="6"/>
      <c r="LC1" s="6"/>
      <c r="LD1" s="6"/>
      <c r="LE1" s="6"/>
      <c r="LF1" s="6"/>
      <c r="LG1" s="6"/>
      <c r="LH1" s="6"/>
      <c r="LI1" s="6"/>
      <c r="LJ1" s="6"/>
      <c r="LK1" s="6"/>
      <c r="LL1" s="6"/>
      <c r="LM1" s="6"/>
      <c r="LN1" s="6"/>
      <c r="LO1" s="6"/>
      <c r="LP1" s="6"/>
      <c r="LQ1" s="6"/>
      <c r="LR1" s="6"/>
      <c r="LS1" s="6"/>
      <c r="LT1" s="6"/>
      <c r="LU1" s="6"/>
      <c r="LV1" s="6"/>
      <c r="LW1" s="6"/>
      <c r="LX1" s="6"/>
      <c r="LY1" s="6"/>
      <c r="LZ1" s="6"/>
      <c r="MA1" s="6"/>
      <c r="MB1" s="6"/>
      <c r="MC1" s="6"/>
      <c r="MD1" s="6"/>
      <c r="ME1" s="6"/>
      <c r="MF1" s="6"/>
      <c r="MG1" s="6"/>
      <c r="MH1" s="6"/>
      <c r="MI1" s="6"/>
      <c r="MJ1" s="6"/>
      <c r="MK1" s="6"/>
      <c r="ML1" s="6"/>
      <c r="MM1" s="6"/>
      <c r="MN1" s="6"/>
      <c r="MO1" s="6"/>
      <c r="MP1" s="6"/>
      <c r="MQ1" s="6"/>
      <c r="MR1" s="6"/>
      <c r="MS1" s="6"/>
      <c r="MT1" s="6"/>
      <c r="MU1" s="6"/>
      <c r="MV1" s="6"/>
      <c r="MW1" s="6"/>
      <c r="MX1" s="6"/>
      <c r="MY1" s="6"/>
      <c r="MZ1" s="6"/>
      <c r="NA1" s="6"/>
      <c r="NB1" s="6"/>
      <c r="NC1" s="6"/>
      <c r="ND1" s="6"/>
      <c r="NE1" s="6"/>
      <c r="NF1" s="6"/>
      <c r="NG1" s="6"/>
      <c r="NH1" s="6"/>
      <c r="NI1" s="6"/>
      <c r="NJ1" s="6"/>
      <c r="NK1" s="6"/>
      <c r="NL1" s="6"/>
      <c r="NM1" s="6"/>
      <c r="NN1" s="6"/>
      <c r="NO1" s="6"/>
      <c r="NP1" s="6"/>
      <c r="NQ1" s="6"/>
      <c r="NR1" s="6"/>
      <c r="NS1" s="6"/>
      <c r="NT1" s="6"/>
      <c r="NU1" s="6"/>
      <c r="NV1" s="6"/>
      <c r="NW1" s="6"/>
      <c r="NX1" s="6"/>
      <c r="NY1" s="6"/>
      <c r="NZ1" s="6"/>
      <c r="OA1" s="6"/>
      <c r="OB1" s="6"/>
      <c r="OC1" s="6"/>
      <c r="OD1" s="6"/>
      <c r="OE1" s="6"/>
      <c r="OF1" s="6"/>
      <c r="OG1" s="6"/>
      <c r="OH1" s="6"/>
      <c r="OI1" s="6"/>
      <c r="OJ1" s="6"/>
      <c r="OK1" s="6"/>
      <c r="OL1" s="6"/>
      <c r="OM1" s="6"/>
      <c r="ON1" s="6"/>
      <c r="OO1" s="6"/>
      <c r="OP1" s="6"/>
      <c r="OQ1" s="6"/>
      <c r="OR1" s="6"/>
      <c r="OS1" s="6"/>
      <c r="OT1" s="6"/>
      <c r="OU1" s="6"/>
      <c r="OV1" s="6"/>
      <c r="OW1" s="6"/>
      <c r="OX1" s="6"/>
      <c r="OY1" s="6"/>
      <c r="OZ1" s="6"/>
      <c r="PA1" s="6"/>
      <c r="PB1" s="6"/>
      <c r="PC1" s="6"/>
      <c r="PD1" s="6"/>
      <c r="PE1" s="6"/>
      <c r="PF1" s="6"/>
      <c r="PG1" s="6"/>
      <c r="PH1" s="6"/>
      <c r="PI1" s="6"/>
      <c r="PJ1" s="6"/>
      <c r="PK1" s="6"/>
      <c r="PL1" s="6"/>
      <c r="PM1" s="6"/>
      <c r="PN1" s="6"/>
      <c r="PO1" s="6"/>
      <c r="PP1" s="6"/>
      <c r="PQ1" s="6"/>
      <c r="PR1" s="6"/>
      <c r="PS1" s="6"/>
      <c r="PT1" s="6"/>
      <c r="PU1" s="6"/>
      <c r="PV1" s="6"/>
      <c r="PW1" s="6"/>
      <c r="PX1" s="6"/>
      <c r="PY1" s="6"/>
      <c r="PZ1" s="6"/>
      <c r="QA1" s="6"/>
      <c r="QB1" s="6"/>
      <c r="QC1" s="6"/>
      <c r="QD1" s="6"/>
      <c r="QE1" s="6"/>
      <c r="QF1" s="6"/>
      <c r="QG1" s="6"/>
      <c r="QH1" s="6"/>
      <c r="QI1" s="6"/>
      <c r="QJ1" s="6"/>
      <c r="QK1" s="6"/>
      <c r="QL1" s="6"/>
      <c r="QM1" s="6"/>
      <c r="QN1" s="6"/>
      <c r="QO1" s="6"/>
      <c r="QP1" s="6"/>
      <c r="QQ1" s="6"/>
      <c r="QR1" s="6"/>
      <c r="QS1" s="6"/>
      <c r="QT1" s="6"/>
      <c r="QU1" s="6"/>
      <c r="QV1" s="6"/>
      <c r="QW1" s="6"/>
      <c r="QX1" s="6"/>
      <c r="QY1" s="6"/>
      <c r="QZ1" s="6"/>
      <c r="RA1" s="6"/>
      <c r="RB1" s="6"/>
      <c r="RC1" s="6"/>
      <c r="RD1" s="6"/>
      <c r="RE1" s="6"/>
      <c r="RF1" s="6"/>
      <c r="RG1" s="6"/>
      <c r="RH1" s="6"/>
      <c r="RI1" s="6"/>
      <c r="RJ1" s="6"/>
      <c r="RK1" s="6"/>
      <c r="RL1" s="6"/>
      <c r="RM1" s="6"/>
      <c r="RN1" s="6"/>
      <c r="RO1" s="6"/>
      <c r="RP1" s="6"/>
      <c r="RQ1" s="6"/>
      <c r="RR1" s="6"/>
      <c r="RS1" s="6"/>
      <c r="RT1" s="6"/>
      <c r="RU1" s="6"/>
      <c r="RV1" s="6"/>
      <c r="RW1" s="6"/>
      <c r="RX1" s="6"/>
      <c r="RY1" s="6"/>
      <c r="RZ1" s="6"/>
      <c r="SA1" s="6"/>
      <c r="SB1" s="6"/>
      <c r="SC1" s="6"/>
      <c r="SD1" s="6"/>
      <c r="SE1" s="6"/>
      <c r="SF1" s="6"/>
      <c r="SG1" s="6"/>
      <c r="SH1" s="6"/>
      <c r="SI1" s="6"/>
      <c r="SJ1" s="6"/>
      <c r="SK1" s="6"/>
      <c r="SL1" s="6"/>
      <c r="SM1" s="6"/>
      <c r="SN1" s="6"/>
      <c r="SO1" s="6"/>
      <c r="SP1" s="6"/>
      <c r="SQ1" s="6"/>
      <c r="SR1" s="6"/>
      <c r="SS1" s="6"/>
      <c r="ST1" s="6"/>
      <c r="SU1" s="6"/>
      <c r="SV1" s="6"/>
      <c r="SW1" s="6"/>
      <c r="SX1" s="6"/>
      <c r="SY1" s="6"/>
      <c r="SZ1" s="6"/>
      <c r="TA1" s="6"/>
      <c r="TB1" s="6"/>
      <c r="TC1" s="6"/>
      <c r="TD1" s="6"/>
      <c r="TE1" s="6"/>
      <c r="TF1" s="6"/>
      <c r="TG1" s="6"/>
      <c r="TH1" s="6"/>
      <c r="TI1" s="6"/>
      <c r="TJ1" s="6"/>
      <c r="TK1" s="6"/>
      <c r="TL1" s="6"/>
      <c r="TM1" s="6"/>
      <c r="TN1" s="6"/>
      <c r="TO1" s="6"/>
      <c r="TP1" s="6"/>
      <c r="TQ1" s="6"/>
      <c r="TR1" s="6"/>
      <c r="TS1" s="6"/>
      <c r="TT1" s="6"/>
      <c r="TU1" s="6"/>
      <c r="TV1" s="6"/>
      <c r="TW1" s="6"/>
      <c r="TX1" s="6"/>
      <c r="TY1" s="6"/>
      <c r="TZ1" s="6"/>
      <c r="UA1" s="6"/>
      <c r="UB1" s="6"/>
      <c r="UC1" s="6"/>
      <c r="UD1" s="6"/>
      <c r="UE1" s="6"/>
      <c r="UF1" s="6"/>
      <c r="UG1" s="6"/>
      <c r="UH1" s="6"/>
      <c r="UI1" s="6"/>
      <c r="UJ1" s="6"/>
      <c r="UK1" s="6"/>
      <c r="UL1" s="6"/>
      <c r="UM1" s="6"/>
      <c r="UN1" s="6"/>
      <c r="UO1" s="6"/>
      <c r="UP1" s="6"/>
      <c r="UQ1" s="6"/>
      <c r="UR1" s="6"/>
      <c r="US1" s="6"/>
      <c r="UT1" s="6"/>
      <c r="UU1" s="6"/>
      <c r="UV1" s="6"/>
      <c r="UW1" s="6"/>
      <c r="UX1" s="6"/>
      <c r="UY1" s="6"/>
      <c r="UZ1" s="6"/>
      <c r="VA1" s="6"/>
      <c r="VB1" s="6"/>
      <c r="VC1" s="6"/>
      <c r="VD1" s="6"/>
      <c r="VE1" s="6"/>
      <c r="VF1" s="6"/>
      <c r="VG1" s="6"/>
      <c r="VH1" s="6"/>
      <c r="VI1" s="6"/>
      <c r="VJ1" s="6"/>
      <c r="VK1" s="6"/>
      <c r="VL1" s="6"/>
      <c r="VM1" s="6"/>
      <c r="VN1" s="6"/>
      <c r="VO1" s="6"/>
      <c r="VP1" s="6"/>
      <c r="VQ1" s="6"/>
      <c r="VR1" s="6"/>
      <c r="VS1" s="6"/>
      <c r="VT1" s="6"/>
      <c r="VU1" s="6"/>
      <c r="VV1" s="6"/>
      <c r="VW1" s="6"/>
      <c r="VX1" s="6"/>
      <c r="VY1" s="6"/>
      <c r="VZ1" s="6"/>
      <c r="WA1" s="6"/>
      <c r="WB1" s="6"/>
      <c r="WC1" s="6"/>
      <c r="WD1" s="6"/>
      <c r="WE1" s="6"/>
      <c r="WF1" s="6"/>
      <c r="WG1" s="6"/>
      <c r="WH1" s="6"/>
      <c r="WI1" s="6"/>
      <c r="WJ1" s="6"/>
      <c r="WK1" s="6"/>
      <c r="WL1" s="6"/>
      <c r="WM1" s="6"/>
      <c r="WN1" s="6"/>
      <c r="WO1" s="6"/>
      <c r="WP1" s="6"/>
      <c r="WQ1" s="6"/>
      <c r="WR1" s="6"/>
      <c r="WS1" s="6"/>
      <c r="WT1" s="6"/>
      <c r="WU1" s="6"/>
      <c r="WV1" s="6"/>
      <c r="WW1" s="6"/>
      <c r="WX1" s="6"/>
      <c r="WY1" s="6"/>
      <c r="WZ1" s="6"/>
      <c r="XA1" s="6"/>
      <c r="XB1" s="6"/>
      <c r="XC1" s="6"/>
      <c r="XD1" s="6"/>
      <c r="XE1" s="6"/>
      <c r="XF1" s="6"/>
      <c r="XG1" s="6"/>
      <c r="XH1" s="6"/>
      <c r="XI1" s="6"/>
      <c r="XJ1" s="6"/>
      <c r="XK1" s="6"/>
      <c r="XL1" s="6"/>
      <c r="XM1" s="6"/>
      <c r="XN1" s="6"/>
      <c r="XO1" s="6"/>
      <c r="XP1" s="6"/>
      <c r="XQ1" s="6"/>
      <c r="XR1" s="6"/>
      <c r="XS1" s="6"/>
      <c r="XT1" s="6"/>
      <c r="XU1" s="6"/>
      <c r="XV1" s="6"/>
      <c r="XW1" s="6"/>
      <c r="XX1" s="6"/>
      <c r="XY1" s="6"/>
      <c r="XZ1" s="6"/>
      <c r="YA1" s="6"/>
      <c r="YB1" s="6"/>
      <c r="YC1" s="6"/>
      <c r="YD1" s="6"/>
      <c r="YE1" s="6"/>
      <c r="YF1" s="6"/>
      <c r="YG1" s="6"/>
      <c r="YH1" s="6"/>
      <c r="YI1" s="6"/>
      <c r="YJ1" s="6"/>
      <c r="YK1" s="6"/>
      <c r="YL1" s="6"/>
      <c r="YM1" s="6"/>
      <c r="YN1" s="6"/>
      <c r="YO1" s="6"/>
      <c r="YP1" s="6"/>
      <c r="YQ1" s="6"/>
      <c r="YR1" s="6"/>
      <c r="YS1" s="6"/>
      <c r="YT1" s="6"/>
      <c r="YU1" s="6"/>
      <c r="YV1" s="6"/>
      <c r="YW1" s="6"/>
      <c r="YX1" s="6"/>
      <c r="YY1" s="6"/>
      <c r="YZ1" s="6"/>
      <c r="ZA1" s="6"/>
      <c r="ZB1" s="6"/>
      <c r="ZC1" s="6"/>
      <c r="ZD1" s="6"/>
      <c r="ZE1" s="6"/>
      <c r="ZF1" s="6"/>
      <c r="ZG1" s="6"/>
      <c r="ZH1" s="6"/>
      <c r="ZI1" s="6"/>
      <c r="ZJ1" s="6"/>
      <c r="ZK1" s="6"/>
      <c r="ZL1" s="6"/>
      <c r="ZM1" s="6"/>
      <c r="ZN1" s="6"/>
      <c r="ZO1" s="6"/>
      <c r="ZP1" s="6"/>
      <c r="ZQ1" s="6"/>
      <c r="ZR1" s="6"/>
      <c r="ZS1" s="6"/>
      <c r="ZT1" s="6"/>
      <c r="ZU1" s="6"/>
      <c r="ZV1" s="6"/>
      <c r="ZW1" s="6"/>
      <c r="ZX1" s="6"/>
      <c r="ZY1" s="6"/>
      <c r="ZZ1" s="6"/>
      <c r="AAA1" s="6"/>
      <c r="AAB1" s="6"/>
      <c r="AAC1" s="6"/>
      <c r="AAD1" s="6"/>
      <c r="AAE1" s="6"/>
      <c r="AAF1" s="6"/>
      <c r="AAG1" s="6"/>
      <c r="AAH1" s="6"/>
      <c r="AAI1" s="6"/>
      <c r="AAJ1" s="6"/>
      <c r="AAK1" s="6"/>
      <c r="AAL1" s="6"/>
      <c r="AAM1" s="6"/>
      <c r="AAN1" s="6"/>
      <c r="AAO1" s="6"/>
      <c r="AAP1" s="6"/>
      <c r="AAQ1" s="6"/>
      <c r="AAR1" s="6"/>
      <c r="AAS1" s="6"/>
      <c r="AAT1" s="6"/>
      <c r="AAU1" s="6"/>
      <c r="AAV1" s="6"/>
      <c r="AAW1" s="6"/>
      <c r="AAX1" s="6"/>
      <c r="AAY1" s="6"/>
      <c r="AAZ1" s="6"/>
      <c r="ABA1" s="6"/>
      <c r="ABB1" s="6"/>
      <c r="ABC1" s="6"/>
      <c r="ABD1" s="6"/>
      <c r="ABE1" s="6"/>
      <c r="ABF1" s="6"/>
      <c r="ABG1" s="6"/>
      <c r="ABH1" s="6"/>
      <c r="ABI1" s="6"/>
      <c r="ABJ1" s="6"/>
      <c r="ABK1" s="6"/>
      <c r="ABL1" s="6"/>
      <c r="ABM1" s="6"/>
      <c r="ABN1" s="6"/>
      <c r="ABO1" s="6"/>
      <c r="ABP1" s="6"/>
      <c r="ABQ1" s="6"/>
      <c r="ABR1" s="6"/>
      <c r="ABS1" s="6"/>
      <c r="ABT1" s="6"/>
      <c r="ABU1" s="6"/>
      <c r="ABV1" s="6"/>
      <c r="ABW1" s="6"/>
      <c r="ABX1" s="6"/>
      <c r="ABY1" s="6"/>
      <c r="ABZ1" s="6"/>
      <c r="ACA1" s="6"/>
      <c r="ACB1" s="6"/>
      <c r="ACC1" s="6"/>
      <c r="ACD1" s="6"/>
      <c r="ACE1" s="6"/>
      <c r="ACF1" s="6"/>
      <c r="ACG1" s="6"/>
      <c r="ACH1" s="6"/>
      <c r="ACI1" s="6"/>
      <c r="ACJ1" s="6"/>
      <c r="ACK1" s="6"/>
      <c r="ACL1" s="6"/>
      <c r="ACM1" s="6"/>
      <c r="ACN1" s="6"/>
      <c r="ACO1" s="6"/>
      <c r="ACP1" s="6"/>
      <c r="ACQ1" s="6"/>
      <c r="ACR1" s="6"/>
      <c r="ACS1" s="6"/>
      <c r="ACT1" s="6"/>
      <c r="ACU1" s="6"/>
      <c r="ACV1" s="6"/>
      <c r="ACW1" s="6"/>
      <c r="ACX1" s="6"/>
      <c r="ACY1" s="6"/>
      <c r="ACZ1" s="6"/>
      <c r="ADA1" s="6"/>
      <c r="ADB1" s="6"/>
      <c r="ADC1" s="6"/>
      <c r="ADD1" s="6"/>
      <c r="ADE1" s="6"/>
      <c r="ADF1" s="6"/>
      <c r="ADG1" s="6"/>
      <c r="ADH1" s="6"/>
      <c r="ADI1" s="6"/>
      <c r="ADJ1" s="6"/>
      <c r="ADK1" s="6"/>
      <c r="ADL1" s="6"/>
      <c r="ADM1" s="6"/>
      <c r="ADN1" s="6"/>
      <c r="ADO1" s="6"/>
      <c r="ADP1" s="6"/>
      <c r="ADQ1" s="6"/>
      <c r="ADR1" s="6"/>
      <c r="ADS1" s="6"/>
      <c r="ADT1" s="6"/>
      <c r="ADU1" s="6"/>
      <c r="ADV1" s="6"/>
      <c r="ADW1" s="6"/>
      <c r="ADX1" s="6"/>
      <c r="ADY1" s="6"/>
      <c r="ADZ1" s="6"/>
      <c r="AEA1" s="6"/>
      <c r="AEB1" s="6"/>
      <c r="AEC1" s="6"/>
      <c r="AED1" s="6"/>
      <c r="AEE1" s="6"/>
      <c r="AEF1" s="6"/>
      <c r="AEG1" s="6"/>
      <c r="AEH1" s="6"/>
      <c r="AEI1" s="6"/>
      <c r="AEJ1" s="6"/>
      <c r="AEK1" s="6"/>
      <c r="AEL1" s="6"/>
      <c r="AEM1" s="6"/>
      <c r="AEN1" s="6"/>
      <c r="AEO1" s="6"/>
      <c r="AEP1" s="6"/>
      <c r="AEQ1" s="6"/>
      <c r="AER1" s="6"/>
      <c r="AES1" s="6"/>
      <c r="AET1" s="6"/>
      <c r="AEU1" s="6"/>
      <c r="AEV1" s="6"/>
      <c r="AEW1" s="6"/>
      <c r="AEX1" s="6"/>
      <c r="AEY1" s="6"/>
      <c r="AEZ1" s="6"/>
      <c r="AFA1" s="6"/>
      <c r="AFB1" s="6"/>
      <c r="AFC1" s="6"/>
      <c r="AFD1" s="6"/>
      <c r="AFE1" s="6"/>
      <c r="AFF1" s="6"/>
      <c r="AFG1" s="6"/>
      <c r="AFH1" s="6"/>
      <c r="AFI1" s="6"/>
      <c r="AFJ1" s="6"/>
      <c r="AFK1" s="6"/>
      <c r="AFL1" s="6"/>
      <c r="AFM1" s="6"/>
      <c r="AFN1" s="6"/>
      <c r="AFO1" s="6"/>
      <c r="AFP1" s="6"/>
      <c r="AFQ1" s="6"/>
      <c r="AFR1" s="6"/>
      <c r="AFS1" s="6"/>
      <c r="AFT1" s="6"/>
      <c r="AFU1" s="6"/>
      <c r="AFV1" s="6"/>
      <c r="AFW1" s="6"/>
      <c r="AFX1" s="6"/>
      <c r="AFY1" s="6"/>
      <c r="AFZ1" s="6"/>
      <c r="AGA1" s="6"/>
      <c r="AGB1" s="6"/>
      <c r="AGC1" s="6"/>
      <c r="AGD1" s="6"/>
      <c r="AGE1" s="6"/>
      <c r="AGF1" s="6"/>
      <c r="AGG1" s="6"/>
      <c r="AGH1" s="6"/>
      <c r="AGI1" s="6"/>
      <c r="AGJ1" s="6"/>
      <c r="AGK1" s="6"/>
      <c r="AGL1" s="6"/>
      <c r="AGM1" s="6"/>
      <c r="AGN1" s="6"/>
      <c r="AGO1" s="6"/>
      <c r="AGP1" s="6"/>
      <c r="AGQ1" s="6"/>
      <c r="AGR1" s="6"/>
      <c r="AGS1" s="6"/>
      <c r="AGT1" s="6"/>
      <c r="AGU1" s="6"/>
      <c r="AGV1" s="6"/>
      <c r="AGW1" s="6"/>
      <c r="AGX1" s="6"/>
      <c r="AGY1" s="6"/>
      <c r="AGZ1" s="6"/>
      <c r="AHA1" s="6"/>
      <c r="AHB1" s="6"/>
      <c r="AHC1" s="6"/>
      <c r="AHD1" s="6"/>
      <c r="AHE1" s="6"/>
      <c r="AHF1" s="6"/>
      <c r="AHG1" s="6"/>
      <c r="AHH1" s="6"/>
      <c r="AHI1" s="6"/>
      <c r="AHJ1" s="6"/>
      <c r="AHK1" s="6"/>
      <c r="AHL1" s="6"/>
      <c r="AHM1" s="6"/>
      <c r="AHN1" s="6"/>
      <c r="AHO1" s="6"/>
      <c r="AHP1" s="6"/>
      <c r="AHQ1" s="6"/>
      <c r="AHR1" s="6"/>
      <c r="AHS1" s="6"/>
      <c r="AHT1" s="6"/>
      <c r="AHU1" s="6"/>
      <c r="AHV1" s="6"/>
      <c r="AHW1" s="6"/>
      <c r="AHX1" s="6"/>
      <c r="AHY1" s="6"/>
      <c r="AHZ1" s="6"/>
      <c r="AIA1" s="6"/>
      <c r="AIB1" s="6"/>
      <c r="AIC1" s="6"/>
      <c r="AID1" s="6"/>
      <c r="AIE1" s="6"/>
      <c r="AIF1" s="6"/>
      <c r="AIG1" s="6"/>
      <c r="AIH1" s="6"/>
      <c r="AII1" s="6"/>
      <c r="AIJ1" s="6"/>
      <c r="AIK1" s="6"/>
      <c r="AIL1" s="6"/>
      <c r="AIM1" s="6"/>
      <c r="AIN1" s="6"/>
      <c r="AIO1" s="6"/>
      <c r="AIP1" s="6"/>
      <c r="AIQ1" s="6"/>
      <c r="AIR1" s="6"/>
      <c r="AIS1" s="6"/>
      <c r="AIT1" s="6"/>
      <c r="AIU1" s="6"/>
      <c r="AIV1" s="6"/>
      <c r="AIW1" s="6"/>
      <c r="AIX1" s="6"/>
      <c r="AIY1" s="6"/>
      <c r="AIZ1" s="6"/>
      <c r="AJA1" s="6"/>
      <c r="AJB1" s="6"/>
      <c r="AJC1" s="6"/>
      <c r="AJD1" s="6"/>
      <c r="AJE1" s="6"/>
      <c r="AJF1" s="6"/>
      <c r="AJG1" s="6"/>
      <c r="AJH1" s="6"/>
      <c r="AJI1" s="6"/>
      <c r="AJJ1" s="6"/>
      <c r="AJK1" s="6"/>
      <c r="AJL1" s="6"/>
      <c r="AJM1" s="6"/>
      <c r="AJN1" s="6"/>
      <c r="AJO1" s="6"/>
      <c r="AJP1" s="6"/>
      <c r="AJQ1" s="6"/>
      <c r="AJR1" s="6"/>
      <c r="AJS1" s="6"/>
      <c r="AJT1" s="6"/>
      <c r="AJU1" s="6"/>
      <c r="AJV1" s="6"/>
      <c r="AJW1" s="6"/>
      <c r="AJX1" s="6"/>
      <c r="AJY1" s="6"/>
      <c r="AJZ1" s="6"/>
      <c r="AKA1" s="6"/>
      <c r="AKB1" s="6"/>
      <c r="AKC1" s="6"/>
      <c r="AKD1" s="6"/>
      <c r="AKE1" s="6"/>
      <c r="AKF1" s="6"/>
      <c r="AKG1" s="6"/>
      <c r="AKH1" s="6"/>
      <c r="AKI1" s="6"/>
      <c r="AKJ1" s="6"/>
      <c r="AKK1" s="6"/>
      <c r="AKL1" s="6"/>
      <c r="AKM1" s="6"/>
      <c r="AKN1" s="6"/>
      <c r="AKO1" s="6"/>
      <c r="AKP1" s="6"/>
      <c r="AKQ1" s="6"/>
      <c r="AKR1" s="6"/>
      <c r="AKS1" s="6"/>
      <c r="AKT1" s="6"/>
      <c r="AKU1" s="6"/>
      <c r="AKV1" s="6"/>
      <c r="AKW1" s="6"/>
      <c r="AKX1" s="6"/>
      <c r="AKY1" s="6"/>
      <c r="AKZ1" s="6"/>
      <c r="ALA1" s="6"/>
      <c r="ALB1" s="6"/>
      <c r="ALC1" s="6"/>
      <c r="ALD1" s="6"/>
      <c r="ALE1" s="6"/>
      <c r="ALF1" s="6"/>
      <c r="ALG1" s="6"/>
      <c r="ALH1" s="6"/>
      <c r="ALI1" s="6"/>
      <c r="ALJ1" s="6"/>
      <c r="ALK1" s="6"/>
      <c r="ALL1" s="6"/>
      <c r="ALM1" s="6"/>
      <c r="ALN1" s="6"/>
      <c r="ALO1" s="6"/>
      <c r="ALP1" s="6"/>
      <c r="ALQ1" s="6"/>
      <c r="ALR1" s="6"/>
      <c r="ALS1" s="6"/>
      <c r="ALT1" s="6"/>
      <c r="ALU1" s="6"/>
      <c r="ALV1" s="6"/>
      <c r="ALW1" s="6"/>
      <c r="ALX1" s="6"/>
      <c r="ALY1" s="6"/>
      <c r="ALZ1" s="6"/>
      <c r="AMA1" s="6"/>
      <c r="AMB1" s="6"/>
      <c r="AMC1" s="6"/>
      <c r="AMD1" s="6"/>
      <c r="AME1" s="6"/>
      <c r="AMF1" s="6"/>
      <c r="AMG1" s="6"/>
      <c r="AMH1" s="6"/>
      <c r="AMI1" s="6"/>
      <c r="AMJ1" s="6"/>
      <c r="AMK1" s="6"/>
      <c r="AML1" s="6"/>
      <c r="AMM1" s="6"/>
    </row>
    <row r="2" spans="1:1027" x14ac:dyDescent="0.2">
      <c r="A2" s="4" t="s">
        <v>237</v>
      </c>
      <c r="B2" s="4" t="s">
        <v>238</v>
      </c>
      <c r="C2" s="4" t="s">
        <v>239</v>
      </c>
      <c r="D2" s="4" t="s">
        <v>240</v>
      </c>
      <c r="E2" s="4" t="s">
        <v>241</v>
      </c>
      <c r="F2" s="4" t="s">
        <v>242</v>
      </c>
      <c r="G2" s="4" t="s">
        <v>243</v>
      </c>
      <c r="H2" s="4" t="s">
        <v>63</v>
      </c>
      <c r="I2" s="4" t="s">
        <v>67</v>
      </c>
    </row>
    <row r="3" spans="1:1027" ht="114.75" x14ac:dyDescent="0.2">
      <c r="A3" s="5" t="s">
        <v>244</v>
      </c>
      <c r="B3" s="5" t="s">
        <v>245</v>
      </c>
      <c r="D3" s="5" t="s">
        <v>246</v>
      </c>
      <c r="H3" s="5" t="s">
        <v>247</v>
      </c>
      <c r="I3" s="7">
        <v>43800</v>
      </c>
    </row>
    <row r="4" spans="1:1027" x14ac:dyDescent="0.2">
      <c r="A4" s="5" t="s">
        <v>248</v>
      </c>
      <c r="B4" s="5" t="s">
        <v>249</v>
      </c>
      <c r="D4" s="5" t="s">
        <v>250</v>
      </c>
      <c r="I4" s="7">
        <v>43800</v>
      </c>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H8"/>
  <sheetViews>
    <sheetView workbookViewId="0">
      <pane xSplit="3" ySplit="2" topLeftCell="D3" activePane="bottomRight" state="frozen"/>
      <selection pane="topRight" activeCell="F23" sqref="F23"/>
      <selection pane="bottomLeft" activeCell="F23" sqref="F23"/>
      <selection pane="bottomRight" activeCell="A2" sqref="A2"/>
    </sheetView>
  </sheetViews>
  <sheetFormatPr defaultColWidth="8.625" defaultRowHeight="12.75" x14ac:dyDescent="0.2"/>
  <cols>
    <col min="1" max="1" width="14.625" style="1" customWidth="1"/>
    <col min="2" max="2" width="12.125" style="1" customWidth="1"/>
    <col min="3" max="3" width="21.375" style="1" customWidth="1"/>
    <col min="4" max="1022" width="39.125" style="1" customWidth="1"/>
    <col min="1023" max="16384" width="8.625" style="31"/>
  </cols>
  <sheetData>
    <row r="1" spans="1:1022" s="34" customFormat="1" x14ac:dyDescent="0.2">
      <c r="A1" s="23" t="str">
        <f>CONCATENATE("Informatieobjecttypen bij zaaktype ",Zaaktype!B2,": ",Zaaktype!B3)</f>
        <v>Informatieobjecttypen bij zaaktype 1: Advies verstrekken</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J1" s="24"/>
      <c r="DK1" s="24"/>
      <c r="DL1" s="24"/>
      <c r="DM1" s="24"/>
      <c r="DN1" s="24"/>
      <c r="DO1" s="24"/>
      <c r="DP1" s="24"/>
      <c r="DQ1" s="24"/>
      <c r="DR1" s="24"/>
      <c r="DS1" s="24"/>
      <c r="DT1" s="24"/>
      <c r="DU1" s="24"/>
      <c r="DV1" s="24"/>
      <c r="DW1" s="24"/>
      <c r="DX1" s="24"/>
      <c r="DY1" s="24"/>
      <c r="DZ1" s="24"/>
      <c r="EA1" s="24"/>
      <c r="EB1" s="24"/>
      <c r="EC1" s="24"/>
      <c r="ED1" s="24"/>
      <c r="EE1" s="24"/>
      <c r="EF1" s="24"/>
      <c r="EG1" s="24"/>
      <c r="EH1" s="24"/>
      <c r="EI1" s="24"/>
      <c r="EJ1" s="24"/>
      <c r="EK1" s="24"/>
      <c r="EL1" s="24"/>
      <c r="EM1" s="24"/>
      <c r="EN1" s="24"/>
      <c r="EO1" s="24"/>
      <c r="EP1" s="24"/>
      <c r="EQ1" s="24"/>
      <c r="ER1" s="24"/>
      <c r="ES1" s="24"/>
      <c r="ET1" s="24"/>
      <c r="EU1" s="24"/>
      <c r="EV1" s="24"/>
      <c r="EW1" s="24"/>
      <c r="EX1" s="24"/>
      <c r="EY1" s="24"/>
      <c r="EZ1" s="24"/>
      <c r="FA1" s="24"/>
      <c r="FB1" s="24"/>
      <c r="FC1" s="24"/>
      <c r="FD1" s="24"/>
      <c r="FE1" s="24"/>
      <c r="FF1" s="24"/>
      <c r="FG1" s="24"/>
      <c r="FH1" s="24"/>
      <c r="FI1" s="24"/>
      <c r="FJ1" s="24"/>
      <c r="FK1" s="24"/>
      <c r="FL1" s="24"/>
      <c r="FM1" s="24"/>
      <c r="FN1" s="24"/>
      <c r="FO1" s="24"/>
      <c r="FP1" s="24"/>
      <c r="FQ1" s="24"/>
      <c r="FR1" s="24"/>
      <c r="FS1" s="24"/>
      <c r="FT1" s="24"/>
      <c r="FU1" s="24"/>
      <c r="FV1" s="24"/>
      <c r="FW1" s="24"/>
      <c r="FX1" s="24"/>
      <c r="FY1" s="24"/>
      <c r="FZ1" s="24"/>
      <c r="GA1" s="24"/>
      <c r="GB1" s="24"/>
      <c r="GC1" s="24"/>
      <c r="GD1" s="24"/>
      <c r="GE1" s="24"/>
      <c r="GF1" s="24"/>
      <c r="GG1" s="24"/>
      <c r="GH1" s="24"/>
      <c r="GI1" s="24"/>
      <c r="GJ1" s="24"/>
      <c r="GK1" s="24"/>
      <c r="GL1" s="24"/>
      <c r="GM1" s="24"/>
      <c r="GN1" s="24"/>
      <c r="GO1" s="24"/>
      <c r="GP1" s="24"/>
      <c r="GQ1" s="24"/>
      <c r="GR1" s="24"/>
      <c r="GS1" s="24"/>
      <c r="GT1" s="24"/>
      <c r="GU1" s="24"/>
      <c r="GV1" s="24"/>
      <c r="GW1" s="24"/>
      <c r="GX1" s="24"/>
      <c r="GY1" s="24"/>
      <c r="GZ1" s="24"/>
      <c r="HA1" s="24"/>
      <c r="HB1" s="24"/>
      <c r="HC1" s="24"/>
      <c r="HD1" s="24"/>
      <c r="HE1" s="24"/>
      <c r="HF1" s="24"/>
      <c r="HG1" s="24"/>
      <c r="HH1" s="24"/>
      <c r="HI1" s="24"/>
      <c r="HJ1" s="24"/>
      <c r="HK1" s="24"/>
      <c r="HL1" s="24"/>
      <c r="HM1" s="24"/>
      <c r="HN1" s="24"/>
      <c r="HO1" s="24"/>
      <c r="HP1" s="24"/>
      <c r="HQ1" s="24"/>
      <c r="HR1" s="24"/>
      <c r="HS1" s="24"/>
      <c r="HT1" s="24"/>
      <c r="HU1" s="24"/>
      <c r="HV1" s="24"/>
      <c r="HW1" s="24"/>
      <c r="HX1" s="24"/>
      <c r="HY1" s="24"/>
      <c r="HZ1" s="24"/>
      <c r="IA1" s="24"/>
      <c r="IB1" s="24"/>
      <c r="IC1" s="24"/>
      <c r="ID1" s="24"/>
      <c r="IE1" s="24"/>
      <c r="IF1" s="24"/>
      <c r="IG1" s="24"/>
      <c r="IH1" s="24"/>
      <c r="II1" s="24"/>
      <c r="IJ1" s="24"/>
      <c r="IK1" s="24"/>
      <c r="IL1" s="24"/>
      <c r="IM1" s="24"/>
      <c r="IN1" s="24"/>
      <c r="IO1" s="24"/>
      <c r="IP1" s="24"/>
      <c r="IQ1" s="24"/>
      <c r="IR1" s="24"/>
      <c r="IS1" s="24"/>
      <c r="IT1" s="24"/>
      <c r="IU1" s="24"/>
      <c r="IV1" s="24"/>
      <c r="IW1" s="24"/>
      <c r="IX1" s="24"/>
      <c r="IY1" s="24"/>
      <c r="IZ1" s="24"/>
      <c r="JA1" s="24"/>
      <c r="JB1" s="24"/>
      <c r="JC1" s="24"/>
      <c r="JD1" s="24"/>
      <c r="JE1" s="24"/>
      <c r="JF1" s="24"/>
      <c r="JG1" s="24"/>
      <c r="JH1" s="24"/>
      <c r="JI1" s="24"/>
      <c r="JJ1" s="24"/>
      <c r="JK1" s="24"/>
      <c r="JL1" s="24"/>
      <c r="JM1" s="24"/>
      <c r="JN1" s="24"/>
      <c r="JO1" s="24"/>
      <c r="JP1" s="24"/>
      <c r="JQ1" s="24"/>
      <c r="JR1" s="24"/>
      <c r="JS1" s="24"/>
      <c r="JT1" s="24"/>
      <c r="JU1" s="24"/>
      <c r="JV1" s="24"/>
      <c r="JW1" s="24"/>
      <c r="JX1" s="24"/>
      <c r="JY1" s="24"/>
      <c r="JZ1" s="24"/>
      <c r="KA1" s="24"/>
      <c r="KB1" s="24"/>
      <c r="KC1" s="24"/>
      <c r="KD1" s="24"/>
      <c r="KE1" s="24"/>
      <c r="KF1" s="24"/>
      <c r="KG1" s="24"/>
      <c r="KH1" s="24"/>
      <c r="KI1" s="24"/>
      <c r="KJ1" s="24"/>
      <c r="KK1" s="24"/>
      <c r="KL1" s="24"/>
      <c r="KM1" s="24"/>
      <c r="KN1" s="24"/>
      <c r="KO1" s="24"/>
      <c r="KP1" s="24"/>
      <c r="KQ1" s="24"/>
      <c r="KR1" s="24"/>
      <c r="KS1" s="24"/>
      <c r="KT1" s="24"/>
      <c r="KU1" s="24"/>
      <c r="KV1" s="24"/>
      <c r="KW1" s="24"/>
      <c r="KX1" s="24"/>
      <c r="KY1" s="24"/>
      <c r="KZ1" s="24"/>
      <c r="LA1" s="24"/>
      <c r="LB1" s="24"/>
      <c r="LC1" s="24"/>
      <c r="LD1" s="24"/>
      <c r="LE1" s="24"/>
      <c r="LF1" s="24"/>
      <c r="LG1" s="24"/>
      <c r="LH1" s="24"/>
      <c r="LI1" s="24"/>
      <c r="LJ1" s="24"/>
      <c r="LK1" s="24"/>
      <c r="LL1" s="24"/>
      <c r="LM1" s="24"/>
      <c r="LN1" s="24"/>
      <c r="LO1" s="24"/>
      <c r="LP1" s="24"/>
      <c r="LQ1" s="24"/>
      <c r="LR1" s="24"/>
      <c r="LS1" s="24"/>
      <c r="LT1" s="24"/>
      <c r="LU1" s="24"/>
      <c r="LV1" s="24"/>
      <c r="LW1" s="24"/>
      <c r="LX1" s="24"/>
      <c r="LY1" s="24"/>
      <c r="LZ1" s="24"/>
      <c r="MA1" s="24"/>
      <c r="MB1" s="24"/>
      <c r="MC1" s="24"/>
      <c r="MD1" s="24"/>
      <c r="ME1" s="24"/>
      <c r="MF1" s="24"/>
      <c r="MG1" s="24"/>
      <c r="MH1" s="24"/>
      <c r="MI1" s="24"/>
      <c r="MJ1" s="24"/>
      <c r="MK1" s="24"/>
      <c r="ML1" s="24"/>
      <c r="MM1" s="24"/>
      <c r="MN1" s="24"/>
      <c r="MO1" s="24"/>
      <c r="MP1" s="24"/>
      <c r="MQ1" s="24"/>
      <c r="MR1" s="24"/>
      <c r="MS1" s="24"/>
      <c r="MT1" s="24"/>
      <c r="MU1" s="24"/>
      <c r="MV1" s="24"/>
      <c r="MW1" s="24"/>
      <c r="MX1" s="24"/>
      <c r="MY1" s="24"/>
      <c r="MZ1" s="24"/>
      <c r="NA1" s="24"/>
      <c r="NB1" s="24"/>
      <c r="NC1" s="24"/>
      <c r="ND1" s="24"/>
      <c r="NE1" s="24"/>
      <c r="NF1" s="24"/>
      <c r="NG1" s="24"/>
      <c r="NH1" s="24"/>
      <c r="NI1" s="24"/>
      <c r="NJ1" s="24"/>
      <c r="NK1" s="24"/>
      <c r="NL1" s="24"/>
      <c r="NM1" s="24"/>
      <c r="NN1" s="24"/>
      <c r="NO1" s="24"/>
      <c r="NP1" s="24"/>
      <c r="NQ1" s="24"/>
      <c r="NR1" s="24"/>
      <c r="NS1" s="24"/>
      <c r="NT1" s="24"/>
      <c r="NU1" s="24"/>
      <c r="NV1" s="24"/>
      <c r="NW1" s="24"/>
      <c r="NX1" s="24"/>
      <c r="NY1" s="24"/>
      <c r="NZ1" s="24"/>
      <c r="OA1" s="24"/>
      <c r="OB1" s="24"/>
      <c r="OC1" s="24"/>
      <c r="OD1" s="24"/>
      <c r="OE1" s="24"/>
      <c r="OF1" s="24"/>
      <c r="OG1" s="24"/>
      <c r="OH1" s="24"/>
      <c r="OI1" s="24"/>
      <c r="OJ1" s="24"/>
      <c r="OK1" s="24"/>
      <c r="OL1" s="24"/>
      <c r="OM1" s="24"/>
      <c r="ON1" s="24"/>
      <c r="OO1" s="24"/>
      <c r="OP1" s="24"/>
      <c r="OQ1" s="24"/>
      <c r="OR1" s="24"/>
      <c r="OS1" s="24"/>
      <c r="OT1" s="24"/>
      <c r="OU1" s="24"/>
      <c r="OV1" s="24"/>
      <c r="OW1" s="24"/>
      <c r="OX1" s="24"/>
      <c r="OY1" s="24"/>
      <c r="OZ1" s="24"/>
      <c r="PA1" s="24"/>
      <c r="PB1" s="24"/>
      <c r="PC1" s="24"/>
      <c r="PD1" s="24"/>
      <c r="PE1" s="24"/>
      <c r="PF1" s="24"/>
      <c r="PG1" s="24"/>
      <c r="PH1" s="24"/>
      <c r="PI1" s="24"/>
      <c r="PJ1" s="24"/>
      <c r="PK1" s="24"/>
      <c r="PL1" s="24"/>
      <c r="PM1" s="24"/>
      <c r="PN1" s="24"/>
      <c r="PO1" s="24"/>
      <c r="PP1" s="24"/>
      <c r="PQ1" s="24"/>
      <c r="PR1" s="24"/>
      <c r="PS1" s="24"/>
      <c r="PT1" s="24"/>
      <c r="PU1" s="24"/>
      <c r="PV1" s="24"/>
      <c r="PW1" s="24"/>
      <c r="PX1" s="24"/>
      <c r="PY1" s="24"/>
      <c r="PZ1" s="24"/>
      <c r="QA1" s="24"/>
      <c r="QB1" s="24"/>
      <c r="QC1" s="24"/>
      <c r="QD1" s="24"/>
      <c r="QE1" s="24"/>
      <c r="QF1" s="24"/>
      <c r="QG1" s="24"/>
      <c r="QH1" s="24"/>
      <c r="QI1" s="24"/>
      <c r="QJ1" s="24"/>
      <c r="QK1" s="24"/>
      <c r="QL1" s="24"/>
      <c r="QM1" s="24"/>
      <c r="QN1" s="24"/>
      <c r="QO1" s="24"/>
      <c r="QP1" s="24"/>
      <c r="QQ1" s="24"/>
      <c r="QR1" s="24"/>
      <c r="QS1" s="24"/>
      <c r="QT1" s="24"/>
      <c r="QU1" s="24"/>
      <c r="QV1" s="24"/>
      <c r="QW1" s="24"/>
      <c r="QX1" s="24"/>
      <c r="QY1" s="24"/>
      <c r="QZ1" s="24"/>
      <c r="RA1" s="24"/>
      <c r="RB1" s="24"/>
      <c r="RC1" s="24"/>
      <c r="RD1" s="24"/>
      <c r="RE1" s="24"/>
      <c r="RF1" s="24"/>
      <c r="RG1" s="24"/>
      <c r="RH1" s="24"/>
      <c r="RI1" s="24"/>
      <c r="RJ1" s="24"/>
      <c r="RK1" s="24"/>
      <c r="RL1" s="24"/>
      <c r="RM1" s="24"/>
      <c r="RN1" s="24"/>
      <c r="RO1" s="24"/>
      <c r="RP1" s="24"/>
      <c r="RQ1" s="24"/>
      <c r="RR1" s="24"/>
      <c r="RS1" s="24"/>
      <c r="RT1" s="24"/>
      <c r="RU1" s="24"/>
      <c r="RV1" s="24"/>
      <c r="RW1" s="24"/>
      <c r="RX1" s="24"/>
      <c r="RY1" s="24"/>
      <c r="RZ1" s="24"/>
      <c r="SA1" s="24"/>
      <c r="SB1" s="24"/>
      <c r="SC1" s="24"/>
      <c r="SD1" s="24"/>
      <c r="SE1" s="24"/>
      <c r="SF1" s="24"/>
      <c r="SG1" s="24"/>
      <c r="SH1" s="24"/>
      <c r="SI1" s="24"/>
      <c r="SJ1" s="24"/>
      <c r="SK1" s="24"/>
      <c r="SL1" s="24"/>
      <c r="SM1" s="24"/>
      <c r="SN1" s="24"/>
      <c r="SO1" s="24"/>
      <c r="SP1" s="24"/>
      <c r="SQ1" s="24"/>
      <c r="SR1" s="24"/>
      <c r="SS1" s="24"/>
      <c r="ST1" s="24"/>
      <c r="SU1" s="24"/>
      <c r="SV1" s="24"/>
      <c r="SW1" s="24"/>
      <c r="SX1" s="24"/>
      <c r="SY1" s="24"/>
      <c r="SZ1" s="24"/>
      <c r="TA1" s="24"/>
      <c r="TB1" s="24"/>
      <c r="TC1" s="24"/>
      <c r="TD1" s="24"/>
      <c r="TE1" s="24"/>
      <c r="TF1" s="24"/>
      <c r="TG1" s="24"/>
      <c r="TH1" s="24"/>
      <c r="TI1" s="24"/>
      <c r="TJ1" s="24"/>
      <c r="TK1" s="24"/>
      <c r="TL1" s="24"/>
      <c r="TM1" s="24"/>
      <c r="TN1" s="24"/>
      <c r="TO1" s="24"/>
      <c r="TP1" s="24"/>
      <c r="TQ1" s="24"/>
      <c r="TR1" s="24"/>
      <c r="TS1" s="24"/>
      <c r="TT1" s="24"/>
      <c r="TU1" s="24"/>
      <c r="TV1" s="24"/>
      <c r="TW1" s="24"/>
      <c r="TX1" s="24"/>
      <c r="TY1" s="24"/>
      <c r="TZ1" s="24"/>
      <c r="UA1" s="24"/>
      <c r="UB1" s="24"/>
      <c r="UC1" s="24"/>
      <c r="UD1" s="24"/>
      <c r="UE1" s="24"/>
      <c r="UF1" s="24"/>
      <c r="UG1" s="24"/>
      <c r="UH1" s="24"/>
      <c r="UI1" s="24"/>
      <c r="UJ1" s="24"/>
      <c r="UK1" s="24"/>
      <c r="UL1" s="24"/>
      <c r="UM1" s="24"/>
      <c r="UN1" s="24"/>
      <c r="UO1" s="24"/>
      <c r="UP1" s="24"/>
      <c r="UQ1" s="24"/>
      <c r="UR1" s="24"/>
      <c r="US1" s="24"/>
      <c r="UT1" s="24"/>
      <c r="UU1" s="24"/>
      <c r="UV1" s="24"/>
      <c r="UW1" s="24"/>
      <c r="UX1" s="24"/>
      <c r="UY1" s="24"/>
      <c r="UZ1" s="24"/>
      <c r="VA1" s="24"/>
      <c r="VB1" s="24"/>
      <c r="VC1" s="24"/>
      <c r="VD1" s="24"/>
      <c r="VE1" s="24"/>
      <c r="VF1" s="24"/>
      <c r="VG1" s="24"/>
      <c r="VH1" s="24"/>
      <c r="VI1" s="24"/>
      <c r="VJ1" s="24"/>
      <c r="VK1" s="24"/>
      <c r="VL1" s="24"/>
      <c r="VM1" s="24"/>
      <c r="VN1" s="24"/>
      <c r="VO1" s="24"/>
      <c r="VP1" s="24"/>
      <c r="VQ1" s="24"/>
      <c r="VR1" s="24"/>
      <c r="VS1" s="24"/>
      <c r="VT1" s="24"/>
      <c r="VU1" s="24"/>
      <c r="VV1" s="24"/>
      <c r="VW1" s="24"/>
      <c r="VX1" s="24"/>
      <c r="VY1" s="24"/>
      <c r="VZ1" s="24"/>
      <c r="WA1" s="24"/>
      <c r="WB1" s="24"/>
      <c r="WC1" s="24"/>
      <c r="WD1" s="24"/>
      <c r="WE1" s="24"/>
      <c r="WF1" s="24"/>
      <c r="WG1" s="24"/>
      <c r="WH1" s="24"/>
      <c r="WI1" s="24"/>
      <c r="WJ1" s="24"/>
      <c r="WK1" s="24"/>
      <c r="WL1" s="24"/>
      <c r="WM1" s="24"/>
      <c r="WN1" s="24"/>
      <c r="WO1" s="24"/>
      <c r="WP1" s="24"/>
      <c r="WQ1" s="24"/>
      <c r="WR1" s="24"/>
      <c r="WS1" s="24"/>
      <c r="WT1" s="24"/>
      <c r="WU1" s="24"/>
      <c r="WV1" s="24"/>
      <c r="WW1" s="24"/>
      <c r="WX1" s="24"/>
      <c r="WY1" s="24"/>
      <c r="WZ1" s="24"/>
      <c r="XA1" s="24"/>
      <c r="XB1" s="24"/>
      <c r="XC1" s="24"/>
      <c r="XD1" s="24"/>
      <c r="XE1" s="24"/>
      <c r="XF1" s="24"/>
      <c r="XG1" s="24"/>
      <c r="XH1" s="24"/>
      <c r="XI1" s="24"/>
      <c r="XJ1" s="24"/>
      <c r="XK1" s="24"/>
      <c r="XL1" s="24"/>
      <c r="XM1" s="24"/>
      <c r="XN1" s="24"/>
      <c r="XO1" s="24"/>
      <c r="XP1" s="24"/>
      <c r="XQ1" s="24"/>
      <c r="XR1" s="24"/>
      <c r="XS1" s="24"/>
      <c r="XT1" s="24"/>
      <c r="XU1" s="24"/>
      <c r="XV1" s="24"/>
      <c r="XW1" s="24"/>
      <c r="XX1" s="24"/>
      <c r="XY1" s="24"/>
      <c r="XZ1" s="24"/>
      <c r="YA1" s="24"/>
      <c r="YB1" s="24"/>
      <c r="YC1" s="24"/>
      <c r="YD1" s="24"/>
      <c r="YE1" s="24"/>
      <c r="YF1" s="24"/>
      <c r="YG1" s="24"/>
      <c r="YH1" s="24"/>
      <c r="YI1" s="24"/>
      <c r="YJ1" s="24"/>
      <c r="YK1" s="24"/>
      <c r="YL1" s="24"/>
      <c r="YM1" s="24"/>
      <c r="YN1" s="24"/>
      <c r="YO1" s="24"/>
      <c r="YP1" s="24"/>
      <c r="YQ1" s="24"/>
      <c r="YR1" s="24"/>
      <c r="YS1" s="24"/>
      <c r="YT1" s="24"/>
      <c r="YU1" s="24"/>
      <c r="YV1" s="24"/>
      <c r="YW1" s="24"/>
      <c r="YX1" s="24"/>
      <c r="YY1" s="24"/>
      <c r="YZ1" s="24"/>
      <c r="ZA1" s="24"/>
      <c r="ZB1" s="24"/>
      <c r="ZC1" s="24"/>
      <c r="ZD1" s="24"/>
      <c r="ZE1" s="24"/>
      <c r="ZF1" s="24"/>
      <c r="ZG1" s="24"/>
      <c r="ZH1" s="24"/>
      <c r="ZI1" s="24"/>
      <c r="ZJ1" s="24"/>
      <c r="ZK1" s="24"/>
      <c r="ZL1" s="24"/>
      <c r="ZM1" s="24"/>
      <c r="ZN1" s="24"/>
      <c r="ZO1" s="24"/>
      <c r="ZP1" s="24"/>
      <c r="ZQ1" s="24"/>
      <c r="ZR1" s="24"/>
      <c r="ZS1" s="24"/>
      <c r="ZT1" s="24"/>
      <c r="ZU1" s="24"/>
      <c r="ZV1" s="24"/>
      <c r="ZW1" s="24"/>
      <c r="ZX1" s="24"/>
      <c r="ZY1" s="24"/>
      <c r="ZZ1" s="24"/>
      <c r="AAA1" s="24"/>
      <c r="AAB1" s="24"/>
      <c r="AAC1" s="24"/>
      <c r="AAD1" s="24"/>
      <c r="AAE1" s="24"/>
      <c r="AAF1" s="24"/>
      <c r="AAG1" s="24"/>
      <c r="AAH1" s="24"/>
      <c r="AAI1" s="24"/>
      <c r="AAJ1" s="24"/>
      <c r="AAK1" s="24"/>
      <c r="AAL1" s="24"/>
      <c r="AAM1" s="24"/>
      <c r="AAN1" s="24"/>
      <c r="AAO1" s="24"/>
      <c r="AAP1" s="24"/>
      <c r="AAQ1" s="24"/>
      <c r="AAR1" s="24"/>
      <c r="AAS1" s="24"/>
      <c r="AAT1" s="24"/>
      <c r="AAU1" s="24"/>
      <c r="AAV1" s="24"/>
      <c r="AAW1" s="24"/>
      <c r="AAX1" s="24"/>
      <c r="AAY1" s="24"/>
      <c r="AAZ1" s="24"/>
      <c r="ABA1" s="24"/>
      <c r="ABB1" s="24"/>
      <c r="ABC1" s="24"/>
      <c r="ABD1" s="24"/>
      <c r="ABE1" s="24"/>
      <c r="ABF1" s="24"/>
      <c r="ABG1" s="24"/>
      <c r="ABH1" s="24"/>
      <c r="ABI1" s="24"/>
      <c r="ABJ1" s="24"/>
      <c r="ABK1" s="24"/>
      <c r="ABL1" s="24"/>
      <c r="ABM1" s="24"/>
      <c r="ABN1" s="24"/>
      <c r="ABO1" s="24"/>
      <c r="ABP1" s="24"/>
      <c r="ABQ1" s="24"/>
      <c r="ABR1" s="24"/>
      <c r="ABS1" s="24"/>
      <c r="ABT1" s="24"/>
      <c r="ABU1" s="24"/>
      <c r="ABV1" s="24"/>
      <c r="ABW1" s="24"/>
      <c r="ABX1" s="24"/>
      <c r="ABY1" s="24"/>
      <c r="ABZ1" s="24"/>
      <c r="ACA1" s="24"/>
      <c r="ACB1" s="24"/>
      <c r="ACC1" s="24"/>
      <c r="ACD1" s="24"/>
      <c r="ACE1" s="24"/>
      <c r="ACF1" s="24"/>
      <c r="ACG1" s="24"/>
      <c r="ACH1" s="24"/>
      <c r="ACI1" s="24"/>
      <c r="ACJ1" s="24"/>
      <c r="ACK1" s="24"/>
      <c r="ACL1" s="24"/>
      <c r="ACM1" s="24"/>
      <c r="ACN1" s="24"/>
      <c r="ACO1" s="24"/>
      <c r="ACP1" s="24"/>
      <c r="ACQ1" s="24"/>
      <c r="ACR1" s="24"/>
      <c r="ACS1" s="24"/>
      <c r="ACT1" s="24"/>
      <c r="ACU1" s="24"/>
      <c r="ACV1" s="24"/>
      <c r="ACW1" s="24"/>
      <c r="ACX1" s="24"/>
      <c r="ACY1" s="24"/>
      <c r="ACZ1" s="24"/>
      <c r="ADA1" s="24"/>
      <c r="ADB1" s="24"/>
      <c r="ADC1" s="24"/>
      <c r="ADD1" s="24"/>
      <c r="ADE1" s="24"/>
      <c r="ADF1" s="24"/>
      <c r="ADG1" s="24"/>
      <c r="ADH1" s="24"/>
      <c r="ADI1" s="24"/>
      <c r="ADJ1" s="24"/>
      <c r="ADK1" s="24"/>
      <c r="ADL1" s="24"/>
      <c r="ADM1" s="24"/>
      <c r="ADN1" s="24"/>
      <c r="ADO1" s="24"/>
      <c r="ADP1" s="24"/>
      <c r="ADQ1" s="24"/>
      <c r="ADR1" s="24"/>
      <c r="ADS1" s="24"/>
      <c r="ADT1" s="24"/>
      <c r="ADU1" s="24"/>
      <c r="ADV1" s="24"/>
      <c r="ADW1" s="24"/>
      <c r="ADX1" s="24"/>
      <c r="ADY1" s="24"/>
      <c r="ADZ1" s="24"/>
      <c r="AEA1" s="24"/>
      <c r="AEB1" s="24"/>
      <c r="AEC1" s="24"/>
      <c r="AED1" s="24"/>
      <c r="AEE1" s="24"/>
      <c r="AEF1" s="24"/>
      <c r="AEG1" s="24"/>
      <c r="AEH1" s="24"/>
      <c r="AEI1" s="24"/>
      <c r="AEJ1" s="24"/>
      <c r="AEK1" s="24"/>
      <c r="AEL1" s="24"/>
      <c r="AEM1" s="24"/>
      <c r="AEN1" s="24"/>
      <c r="AEO1" s="24"/>
      <c r="AEP1" s="24"/>
      <c r="AEQ1" s="24"/>
      <c r="AER1" s="24"/>
      <c r="AES1" s="24"/>
      <c r="AET1" s="24"/>
      <c r="AEU1" s="24"/>
      <c r="AEV1" s="24"/>
      <c r="AEW1" s="24"/>
      <c r="AEX1" s="24"/>
      <c r="AEY1" s="24"/>
      <c r="AEZ1" s="24"/>
      <c r="AFA1" s="24"/>
      <c r="AFB1" s="24"/>
      <c r="AFC1" s="24"/>
      <c r="AFD1" s="24"/>
      <c r="AFE1" s="24"/>
      <c r="AFF1" s="24"/>
      <c r="AFG1" s="24"/>
      <c r="AFH1" s="24"/>
      <c r="AFI1" s="24"/>
      <c r="AFJ1" s="24"/>
      <c r="AFK1" s="24"/>
      <c r="AFL1" s="24"/>
      <c r="AFM1" s="24"/>
      <c r="AFN1" s="24"/>
      <c r="AFO1" s="24"/>
      <c r="AFP1" s="24"/>
      <c r="AFQ1" s="24"/>
      <c r="AFR1" s="24"/>
      <c r="AFS1" s="24"/>
      <c r="AFT1" s="24"/>
      <c r="AFU1" s="24"/>
      <c r="AFV1" s="24"/>
      <c r="AFW1" s="24"/>
      <c r="AFX1" s="24"/>
      <c r="AFY1" s="24"/>
      <c r="AFZ1" s="24"/>
      <c r="AGA1" s="24"/>
      <c r="AGB1" s="24"/>
      <c r="AGC1" s="24"/>
      <c r="AGD1" s="24"/>
      <c r="AGE1" s="24"/>
      <c r="AGF1" s="24"/>
      <c r="AGG1" s="24"/>
      <c r="AGH1" s="24"/>
      <c r="AGI1" s="24"/>
      <c r="AGJ1" s="24"/>
      <c r="AGK1" s="24"/>
      <c r="AGL1" s="24"/>
      <c r="AGM1" s="24"/>
      <c r="AGN1" s="24"/>
      <c r="AGO1" s="24"/>
      <c r="AGP1" s="24"/>
      <c r="AGQ1" s="24"/>
      <c r="AGR1" s="24"/>
      <c r="AGS1" s="24"/>
      <c r="AGT1" s="24"/>
      <c r="AGU1" s="24"/>
      <c r="AGV1" s="24"/>
      <c r="AGW1" s="24"/>
      <c r="AGX1" s="24"/>
      <c r="AGY1" s="24"/>
      <c r="AGZ1" s="24"/>
      <c r="AHA1" s="24"/>
      <c r="AHB1" s="24"/>
      <c r="AHC1" s="24"/>
      <c r="AHD1" s="24"/>
      <c r="AHE1" s="24"/>
      <c r="AHF1" s="24"/>
      <c r="AHG1" s="24"/>
      <c r="AHH1" s="24"/>
      <c r="AHI1" s="24"/>
      <c r="AHJ1" s="24"/>
      <c r="AHK1" s="24"/>
      <c r="AHL1" s="24"/>
      <c r="AHM1" s="24"/>
      <c r="AHN1" s="24"/>
      <c r="AHO1" s="24"/>
      <c r="AHP1" s="24"/>
      <c r="AHQ1" s="24"/>
      <c r="AHR1" s="24"/>
      <c r="AHS1" s="24"/>
      <c r="AHT1" s="24"/>
      <c r="AHU1" s="24"/>
      <c r="AHV1" s="24"/>
      <c r="AHW1" s="24"/>
      <c r="AHX1" s="24"/>
      <c r="AHY1" s="24"/>
      <c r="AHZ1" s="24"/>
      <c r="AIA1" s="24"/>
      <c r="AIB1" s="24"/>
      <c r="AIC1" s="24"/>
      <c r="AID1" s="24"/>
      <c r="AIE1" s="24"/>
      <c r="AIF1" s="24"/>
      <c r="AIG1" s="24"/>
      <c r="AIH1" s="24"/>
      <c r="AII1" s="24"/>
      <c r="AIJ1" s="24"/>
      <c r="AIK1" s="24"/>
      <c r="AIL1" s="24"/>
      <c r="AIM1" s="24"/>
      <c r="AIN1" s="24"/>
      <c r="AIO1" s="24"/>
      <c r="AIP1" s="24"/>
      <c r="AIQ1" s="24"/>
      <c r="AIR1" s="24"/>
      <c r="AIS1" s="24"/>
      <c r="AIT1" s="24"/>
      <c r="AIU1" s="24"/>
      <c r="AIV1" s="24"/>
      <c r="AIW1" s="24"/>
      <c r="AIX1" s="24"/>
      <c r="AIY1" s="24"/>
      <c r="AIZ1" s="24"/>
      <c r="AJA1" s="24"/>
      <c r="AJB1" s="24"/>
      <c r="AJC1" s="24"/>
      <c r="AJD1" s="24"/>
      <c r="AJE1" s="24"/>
      <c r="AJF1" s="24"/>
      <c r="AJG1" s="24"/>
      <c r="AJH1" s="24"/>
      <c r="AJI1" s="24"/>
      <c r="AJJ1" s="24"/>
      <c r="AJK1" s="24"/>
      <c r="AJL1" s="24"/>
      <c r="AJM1" s="24"/>
      <c r="AJN1" s="24"/>
      <c r="AJO1" s="24"/>
      <c r="AJP1" s="24"/>
      <c r="AJQ1" s="24"/>
      <c r="AJR1" s="24"/>
      <c r="AJS1" s="24"/>
      <c r="AJT1" s="24"/>
      <c r="AJU1" s="24"/>
      <c r="AJV1" s="24"/>
      <c r="AJW1" s="24"/>
      <c r="AJX1" s="24"/>
      <c r="AJY1" s="24"/>
      <c r="AJZ1" s="24"/>
      <c r="AKA1" s="24"/>
      <c r="AKB1" s="24"/>
      <c r="AKC1" s="24"/>
      <c r="AKD1" s="24"/>
      <c r="AKE1" s="24"/>
      <c r="AKF1" s="24"/>
      <c r="AKG1" s="24"/>
      <c r="AKH1" s="24"/>
      <c r="AKI1" s="24"/>
      <c r="AKJ1" s="24"/>
      <c r="AKK1" s="24"/>
      <c r="AKL1" s="24"/>
      <c r="AKM1" s="24"/>
      <c r="AKN1" s="24"/>
      <c r="AKO1" s="24"/>
      <c r="AKP1" s="24"/>
      <c r="AKQ1" s="24"/>
      <c r="AKR1" s="24"/>
      <c r="AKS1" s="24"/>
      <c r="AKT1" s="24"/>
      <c r="AKU1" s="24"/>
      <c r="AKV1" s="24"/>
      <c r="AKW1" s="24"/>
      <c r="AKX1" s="24"/>
      <c r="AKY1" s="24"/>
      <c r="AKZ1" s="24"/>
      <c r="ALA1" s="24"/>
      <c r="ALB1" s="24"/>
      <c r="ALC1" s="24"/>
      <c r="ALD1" s="24"/>
      <c r="ALE1" s="24"/>
      <c r="ALF1" s="24"/>
      <c r="ALG1" s="24"/>
      <c r="ALH1" s="24"/>
      <c r="ALI1" s="24"/>
      <c r="ALJ1" s="24"/>
      <c r="ALK1" s="24"/>
      <c r="ALL1" s="24"/>
      <c r="ALM1" s="24"/>
      <c r="ALN1" s="24"/>
      <c r="ALO1" s="24"/>
      <c r="ALP1" s="24"/>
      <c r="ALQ1" s="24"/>
      <c r="ALR1" s="24"/>
      <c r="ALS1" s="24"/>
      <c r="ALT1" s="24"/>
      <c r="ALU1" s="24"/>
      <c r="ALV1" s="24"/>
      <c r="ALW1" s="24"/>
      <c r="ALX1" s="24"/>
      <c r="ALY1" s="24"/>
      <c r="ALZ1" s="24"/>
      <c r="AMA1" s="24"/>
      <c r="AMB1" s="24"/>
      <c r="AMC1" s="24"/>
      <c r="AMD1" s="24"/>
      <c r="AME1" s="24"/>
      <c r="AMF1" s="24"/>
      <c r="AMG1" s="24"/>
      <c r="AMH1" s="24"/>
    </row>
    <row r="2" spans="1:1022" x14ac:dyDescent="0.2">
      <c r="A2" s="2" t="s">
        <v>251</v>
      </c>
      <c r="B2" s="2" t="s">
        <v>252</v>
      </c>
      <c r="C2" s="2" t="s">
        <v>253</v>
      </c>
    </row>
    <row r="3" spans="1:1022" x14ac:dyDescent="0.2">
      <c r="A3" s="1">
        <v>1</v>
      </c>
      <c r="B3" s="1" t="s">
        <v>254</v>
      </c>
      <c r="C3" s="22" t="s">
        <v>255</v>
      </c>
    </row>
    <row r="4" spans="1:1022" x14ac:dyDescent="0.2">
      <c r="A4" s="1">
        <v>2</v>
      </c>
      <c r="B4" s="1" t="s">
        <v>256</v>
      </c>
      <c r="C4" s="22" t="s">
        <v>257</v>
      </c>
    </row>
    <row r="5" spans="1:1022" x14ac:dyDescent="0.2">
      <c r="A5" s="1">
        <v>4</v>
      </c>
      <c r="B5" s="1" t="s">
        <v>254</v>
      </c>
      <c r="C5" s="22" t="s">
        <v>258</v>
      </c>
    </row>
    <row r="6" spans="1:1022" x14ac:dyDescent="0.2">
      <c r="A6" s="1">
        <v>5</v>
      </c>
      <c r="B6" s="1" t="s">
        <v>259</v>
      </c>
      <c r="C6" s="22" t="s">
        <v>83</v>
      </c>
    </row>
    <row r="7" spans="1:1022" x14ac:dyDescent="0.2">
      <c r="A7" s="1">
        <v>6</v>
      </c>
      <c r="B7" s="1" t="s">
        <v>256</v>
      </c>
      <c r="C7" s="22" t="s">
        <v>83</v>
      </c>
    </row>
    <row r="8" spans="1:1022" x14ac:dyDescent="0.2">
      <c r="A8" s="1">
        <v>7</v>
      </c>
      <c r="B8" s="1" t="s">
        <v>259</v>
      </c>
      <c r="C8" s="1" t="s">
        <v>260</v>
      </c>
    </row>
  </sheetData>
  <pageMargins left="0" right="0" top="0.39370078740157483" bottom="0.39370078740157483" header="0" footer="0"/>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B2"/>
  <sheetViews>
    <sheetView workbookViewId="0">
      <pane xSplit="1" ySplit="2" topLeftCell="B3" activePane="bottomRight" state="frozen"/>
      <selection pane="topRight" activeCell="F23" sqref="F23"/>
      <selection pane="bottomLeft" activeCell="F23" sqref="F23"/>
      <selection pane="bottomRight" activeCell="A2" sqref="A2"/>
    </sheetView>
  </sheetViews>
  <sheetFormatPr defaultColWidth="8.625" defaultRowHeight="12.75" x14ac:dyDescent="0.2"/>
  <cols>
    <col min="1" max="1" width="43.5" style="31" bestFit="1" customWidth="1"/>
    <col min="2" max="2" width="12.625" style="31" customWidth="1"/>
    <col min="3" max="16384" width="8.625" style="31"/>
  </cols>
  <sheetData>
    <row r="1" spans="1:2" s="30" customFormat="1" x14ac:dyDescent="0.2">
      <c r="A1" s="30" t="str">
        <f>CONCATENATE("Besluittypen bij zaaktype ",Zaaktype!B2,": ",Zaaktype!B3)</f>
        <v>Besluittypen bij zaaktype 1: Advies verstrekken</v>
      </c>
    </row>
    <row r="2" spans="1:2" ht="25.5" x14ac:dyDescent="0.2">
      <c r="A2" s="3" t="s">
        <v>261</v>
      </c>
      <c r="B2" s="2" t="s">
        <v>55</v>
      </c>
    </row>
  </sheetData>
  <pageMargins left="0" right="0" top="0.39370078740157483" bottom="0.39370078740157483" header="0" footer="0"/>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U17"/>
  <sheetViews>
    <sheetView workbookViewId="0">
      <pane xSplit="2" ySplit="2" topLeftCell="D8" activePane="bottomRight" state="frozen"/>
      <selection pane="topRight" activeCell="F23" sqref="F23"/>
      <selection pane="bottomLeft" activeCell="F23" sqref="F23"/>
      <selection pane="bottomRight" activeCell="A2" sqref="A2"/>
    </sheetView>
  </sheetViews>
  <sheetFormatPr defaultColWidth="10.125" defaultRowHeight="12.75" x14ac:dyDescent="0.2"/>
  <cols>
    <col min="1" max="1" width="26.125" style="40" bestFit="1" customWidth="1"/>
    <col min="2" max="2" width="12.125" style="40" customWidth="1"/>
    <col min="3" max="3" width="22.375" style="40" bestFit="1" customWidth="1"/>
    <col min="4" max="4" width="22.375" style="40" customWidth="1"/>
    <col min="5" max="5" width="22.5" style="40" bestFit="1" customWidth="1"/>
    <col min="6" max="6" width="10.625" style="40" customWidth="1"/>
    <col min="7" max="7" width="14.125" style="40" customWidth="1"/>
    <col min="8" max="8" width="19.625" style="40" bestFit="1" customWidth="1"/>
    <col min="9" max="9" width="17.5" style="40" bestFit="1" customWidth="1"/>
    <col min="10" max="10" width="16.125" style="40" customWidth="1"/>
    <col min="11" max="11" width="21.625" style="40" customWidth="1"/>
    <col min="12" max="16" width="22.625" style="40" customWidth="1"/>
    <col min="17" max="17" width="78.125" style="40" customWidth="1"/>
    <col min="18" max="18" width="36.125" style="40" customWidth="1"/>
    <col min="19" max="20" width="28.125" style="40" customWidth="1"/>
    <col min="21" max="21" width="13.375" style="40" customWidth="1"/>
    <col min="22" max="16384" width="10.125" style="40"/>
  </cols>
  <sheetData>
    <row r="1" spans="1:21" s="38" customFormat="1" ht="14.1" customHeight="1" x14ac:dyDescent="0.2">
      <c r="A1" s="37" t="str">
        <f>CONCATENATE("Resultaattypen bij zaaktype ",Zaaktype!B2,": ",Zaaktype!B3)</f>
        <v>Resultaattypen bij zaaktype 1: Advies verstrekken</v>
      </c>
      <c r="B1" s="37"/>
      <c r="D1" s="37"/>
    </row>
    <row r="2" spans="1:21" s="39" customFormat="1" ht="38.25" x14ac:dyDescent="0.2">
      <c r="A2" s="39" t="s">
        <v>262</v>
      </c>
      <c r="B2" s="39" t="s">
        <v>263</v>
      </c>
      <c r="C2" s="39" t="s">
        <v>264</v>
      </c>
      <c r="D2" s="39" t="s">
        <v>265</v>
      </c>
      <c r="E2" s="39" t="s">
        <v>266</v>
      </c>
      <c r="F2" s="39" t="s">
        <v>267</v>
      </c>
      <c r="G2" s="39" t="s">
        <v>268</v>
      </c>
      <c r="H2" s="39" t="s">
        <v>269</v>
      </c>
      <c r="I2" s="39" t="s">
        <v>270</v>
      </c>
      <c r="J2" s="39" t="s">
        <v>271</v>
      </c>
      <c r="K2" s="39" t="s">
        <v>272</v>
      </c>
      <c r="L2" s="39" t="s">
        <v>273</v>
      </c>
      <c r="M2" s="39" t="s">
        <v>274</v>
      </c>
      <c r="N2" s="39" t="s">
        <v>275</v>
      </c>
      <c r="O2" s="39" t="s">
        <v>276</v>
      </c>
      <c r="P2" s="39" t="s">
        <v>277</v>
      </c>
      <c r="Q2" s="39" t="s">
        <v>11</v>
      </c>
      <c r="R2" s="39" t="s">
        <v>278</v>
      </c>
      <c r="S2" s="39" t="s">
        <v>279</v>
      </c>
      <c r="T2" s="39" t="s">
        <v>280</v>
      </c>
      <c r="U2" s="39" t="s">
        <v>281</v>
      </c>
    </row>
    <row r="3" spans="1:21" x14ac:dyDescent="0.2">
      <c r="A3" s="40" t="s">
        <v>282</v>
      </c>
      <c r="B3" s="40" t="s">
        <v>283</v>
      </c>
      <c r="C3" s="40" t="s">
        <v>284</v>
      </c>
      <c r="D3" s="40" t="s">
        <v>282</v>
      </c>
      <c r="E3" s="40" t="s">
        <v>285</v>
      </c>
      <c r="F3" s="40" t="s">
        <v>152</v>
      </c>
      <c r="G3" s="40" t="s">
        <v>286</v>
      </c>
      <c r="H3" s="40" t="s">
        <v>287</v>
      </c>
      <c r="J3" s="40">
        <v>12</v>
      </c>
      <c r="K3" s="40" t="s">
        <v>288</v>
      </c>
      <c r="Q3" s="40" t="s">
        <v>289</v>
      </c>
    </row>
    <row r="4" spans="1:21" ht="25.5" x14ac:dyDescent="0.2">
      <c r="A4" s="40" t="s">
        <v>290</v>
      </c>
      <c r="B4" s="40" t="s">
        <v>283</v>
      </c>
      <c r="C4" s="40" t="s">
        <v>290</v>
      </c>
      <c r="D4" s="40" t="s">
        <v>290</v>
      </c>
      <c r="E4" s="40" t="s">
        <v>285</v>
      </c>
      <c r="F4" s="40" t="s">
        <v>152</v>
      </c>
      <c r="G4" s="40" t="s">
        <v>291</v>
      </c>
      <c r="H4" s="40" t="s">
        <v>287</v>
      </c>
      <c r="J4" s="40">
        <v>12</v>
      </c>
      <c r="K4" s="40" t="s">
        <v>288</v>
      </c>
      <c r="Q4" s="40" t="s">
        <v>292</v>
      </c>
    </row>
    <row r="5" spans="1:21" x14ac:dyDescent="0.2">
      <c r="A5" s="40" t="s">
        <v>284</v>
      </c>
      <c r="B5" s="40" t="s">
        <v>283</v>
      </c>
      <c r="C5" s="40" t="s">
        <v>284</v>
      </c>
      <c r="D5" s="40" t="s">
        <v>284</v>
      </c>
      <c r="E5" s="40" t="s">
        <v>285</v>
      </c>
      <c r="F5" s="40" t="s">
        <v>152</v>
      </c>
      <c r="G5" s="40" t="s">
        <v>286</v>
      </c>
      <c r="H5" s="40" t="s">
        <v>287</v>
      </c>
      <c r="J5" s="40">
        <v>12</v>
      </c>
      <c r="K5" s="40" t="s">
        <v>288</v>
      </c>
      <c r="Q5" s="40" t="s">
        <v>293</v>
      </c>
    </row>
    <row r="6" spans="1:21" x14ac:dyDescent="0.2">
      <c r="A6" s="40" t="s">
        <v>294</v>
      </c>
      <c r="B6" s="40" t="s">
        <v>283</v>
      </c>
      <c r="C6" s="40" t="s">
        <v>294</v>
      </c>
      <c r="D6" s="40" t="s">
        <v>294</v>
      </c>
      <c r="E6" s="40" t="s">
        <v>285</v>
      </c>
      <c r="F6" s="40" t="s">
        <v>152</v>
      </c>
      <c r="G6" s="40" t="s">
        <v>295</v>
      </c>
      <c r="H6" s="40" t="s">
        <v>287</v>
      </c>
      <c r="J6" s="40">
        <v>60</v>
      </c>
      <c r="K6" s="40" t="s">
        <v>288</v>
      </c>
      <c r="Q6" s="40" t="s">
        <v>296</v>
      </c>
    </row>
    <row r="7" spans="1:21" ht="25.5" x14ac:dyDescent="0.2">
      <c r="A7" s="40" t="s">
        <v>297</v>
      </c>
      <c r="B7" s="40" t="s">
        <v>283</v>
      </c>
      <c r="C7" s="40" t="s">
        <v>294</v>
      </c>
      <c r="D7" s="40" t="s">
        <v>294</v>
      </c>
      <c r="E7" s="40" t="s">
        <v>298</v>
      </c>
      <c r="F7" s="40" t="s">
        <v>219</v>
      </c>
      <c r="G7" s="40" t="s">
        <v>299</v>
      </c>
      <c r="H7" s="40" t="s">
        <v>287</v>
      </c>
      <c r="J7" s="40">
        <v>120</v>
      </c>
      <c r="K7" s="40" t="s">
        <v>288</v>
      </c>
      <c r="Q7" s="40" t="s">
        <v>300</v>
      </c>
    </row>
    <row r="8" spans="1:21" ht="37.5" customHeight="1" x14ac:dyDescent="0.2">
      <c r="A8" s="40" t="s">
        <v>301</v>
      </c>
      <c r="B8" s="40" t="s">
        <v>283</v>
      </c>
      <c r="C8" s="40" t="s">
        <v>294</v>
      </c>
      <c r="D8" s="40" t="s">
        <v>294</v>
      </c>
      <c r="E8" s="40" t="s">
        <v>302</v>
      </c>
      <c r="F8" s="40" t="s">
        <v>219</v>
      </c>
      <c r="G8" s="40" t="s">
        <v>303</v>
      </c>
      <c r="H8" s="40" t="s">
        <v>287</v>
      </c>
      <c r="J8" s="40">
        <v>12</v>
      </c>
      <c r="K8" s="40" t="s">
        <v>304</v>
      </c>
      <c r="L8" s="40" t="s">
        <v>305</v>
      </c>
      <c r="M8" s="40" t="s">
        <v>306</v>
      </c>
      <c r="N8" s="40" t="s">
        <v>152</v>
      </c>
      <c r="O8" s="40" t="s">
        <v>307</v>
      </c>
      <c r="P8" s="40" t="s">
        <v>308</v>
      </c>
      <c r="Q8" s="40" t="s">
        <v>309</v>
      </c>
      <c r="S8" s="40" t="s">
        <v>310</v>
      </c>
    </row>
    <row r="9" spans="1:21" ht="25.5" x14ac:dyDescent="0.2">
      <c r="A9" s="40" t="s">
        <v>282</v>
      </c>
      <c r="B9" s="40" t="s">
        <v>311</v>
      </c>
      <c r="C9" s="40" t="s">
        <v>312</v>
      </c>
      <c r="D9" s="40" t="s">
        <v>282</v>
      </c>
      <c r="G9" s="40">
        <v>1</v>
      </c>
      <c r="H9" s="40" t="s">
        <v>287</v>
      </c>
      <c r="J9" s="40">
        <v>36</v>
      </c>
      <c r="K9" s="40" t="s">
        <v>288</v>
      </c>
    </row>
    <row r="10" spans="1:21" ht="25.5" x14ac:dyDescent="0.2">
      <c r="A10" s="40" t="s">
        <v>294</v>
      </c>
      <c r="B10" s="40" t="s">
        <v>311</v>
      </c>
      <c r="C10" s="40" t="s">
        <v>313</v>
      </c>
      <c r="D10" s="40" t="s">
        <v>294</v>
      </c>
      <c r="G10" s="40">
        <v>36</v>
      </c>
      <c r="H10" s="40" t="s">
        <v>287</v>
      </c>
      <c r="J10" s="40">
        <v>120</v>
      </c>
      <c r="K10" s="40" t="s">
        <v>288</v>
      </c>
    </row>
    <row r="11" spans="1:21" ht="25.5" x14ac:dyDescent="0.2">
      <c r="A11" s="40" t="s">
        <v>290</v>
      </c>
      <c r="B11" s="40" t="s">
        <v>311</v>
      </c>
      <c r="C11" s="40" t="s">
        <v>290</v>
      </c>
      <c r="D11" s="40" t="s">
        <v>290</v>
      </c>
      <c r="G11" s="40">
        <v>1</v>
      </c>
      <c r="H11" s="40" t="s">
        <v>287</v>
      </c>
      <c r="J11" s="40">
        <v>36</v>
      </c>
      <c r="K11" s="40" t="s">
        <v>288</v>
      </c>
      <c r="Q11" s="40" t="s">
        <v>314</v>
      </c>
    </row>
    <row r="12" spans="1:21" x14ac:dyDescent="0.2">
      <c r="A12" s="40" t="s">
        <v>284</v>
      </c>
      <c r="B12" s="40" t="s">
        <v>311</v>
      </c>
      <c r="C12" s="40" t="s">
        <v>284</v>
      </c>
      <c r="D12" s="40" t="s">
        <v>284</v>
      </c>
      <c r="G12" s="40">
        <v>36</v>
      </c>
      <c r="H12" s="40" t="s">
        <v>287</v>
      </c>
      <c r="J12" s="40">
        <v>120</v>
      </c>
      <c r="K12" s="40" t="s">
        <v>288</v>
      </c>
    </row>
    <row r="13" spans="1:21" x14ac:dyDescent="0.2">
      <c r="A13" s="40" t="s">
        <v>294</v>
      </c>
      <c r="B13" s="40" t="s">
        <v>315</v>
      </c>
      <c r="C13" s="40" t="s">
        <v>294</v>
      </c>
      <c r="D13" s="40" t="s">
        <v>294</v>
      </c>
      <c r="G13" s="40" t="s">
        <v>316</v>
      </c>
      <c r="H13" s="40" t="s">
        <v>317</v>
      </c>
    </row>
    <row r="14" spans="1:21" x14ac:dyDescent="0.2">
      <c r="A14" s="40" t="s">
        <v>318</v>
      </c>
      <c r="B14" s="40" t="s">
        <v>315</v>
      </c>
      <c r="C14" s="40" t="s">
        <v>294</v>
      </c>
      <c r="D14" s="40" t="s">
        <v>294</v>
      </c>
      <c r="G14" s="40" t="s">
        <v>316</v>
      </c>
      <c r="H14" s="40" t="s">
        <v>287</v>
      </c>
      <c r="J14" s="40">
        <v>120</v>
      </c>
      <c r="K14" s="40" t="s">
        <v>288</v>
      </c>
    </row>
    <row r="15" spans="1:21" ht="25.5" x14ac:dyDescent="0.2">
      <c r="A15" s="40" t="s">
        <v>319</v>
      </c>
      <c r="B15" s="40" t="s">
        <v>315</v>
      </c>
      <c r="C15" s="40" t="s">
        <v>294</v>
      </c>
      <c r="D15" s="40" t="s">
        <v>294</v>
      </c>
      <c r="G15" s="40" t="s">
        <v>316</v>
      </c>
      <c r="H15" s="40" t="s">
        <v>287</v>
      </c>
      <c r="J15" s="40">
        <v>60</v>
      </c>
      <c r="K15" s="40" t="s">
        <v>288</v>
      </c>
    </row>
    <row r="16" spans="1:21" x14ac:dyDescent="0.2">
      <c r="A16" s="40" t="s">
        <v>284</v>
      </c>
      <c r="B16" s="40" t="s">
        <v>315</v>
      </c>
      <c r="C16" s="40" t="s">
        <v>284</v>
      </c>
      <c r="D16" s="40" t="s">
        <v>284</v>
      </c>
      <c r="G16" s="40" t="s">
        <v>316</v>
      </c>
      <c r="H16" s="40" t="s">
        <v>287</v>
      </c>
      <c r="J16" s="40">
        <v>60</v>
      </c>
      <c r="K16" s="40" t="s">
        <v>288</v>
      </c>
    </row>
    <row r="17" spans="1:11" x14ac:dyDescent="0.2">
      <c r="A17" s="40" t="s">
        <v>290</v>
      </c>
      <c r="B17" s="40" t="s">
        <v>315</v>
      </c>
      <c r="C17" s="40" t="s">
        <v>290</v>
      </c>
      <c r="D17" s="40" t="s">
        <v>290</v>
      </c>
      <c r="G17" s="40" t="s">
        <v>320</v>
      </c>
      <c r="H17" s="40" t="s">
        <v>287</v>
      </c>
      <c r="J17" s="40">
        <v>12</v>
      </c>
      <c r="K17" s="40" t="s">
        <v>288</v>
      </c>
    </row>
  </sheetData>
  <phoneticPr fontId="22" type="noConversion"/>
  <pageMargins left="0" right="0" top="0.39370078740157483" bottom="0.39370078740157483" header="0" footer="0"/>
  <pageSetup paperSize="9" orientation="portrait" r:id="rId1"/>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9"/>
  <dimension ref="A1:A2"/>
  <sheetViews>
    <sheetView workbookViewId="0">
      <pane xSplit="1" ySplit="2" topLeftCell="B3" activePane="bottomRight" state="frozen"/>
      <selection pane="topRight" activeCell="F23" sqref="F23"/>
      <selection pane="bottomLeft" activeCell="F23" sqref="F23"/>
      <selection pane="bottomRight" activeCell="A2" sqref="A2"/>
    </sheetView>
  </sheetViews>
  <sheetFormatPr defaultColWidth="8.625" defaultRowHeight="12.75" x14ac:dyDescent="0.2"/>
  <cols>
    <col min="1" max="1" width="19.375" style="28" customWidth="1"/>
    <col min="2" max="16384" width="8.625" style="28"/>
  </cols>
  <sheetData>
    <row r="1" spans="1:1" s="26" customFormat="1" x14ac:dyDescent="0.2">
      <c r="A1" s="25" t="str">
        <f>CONCATENATE("Deelzaaktypen van zaaktype ",Zaaktype!B2,": ",Zaaktype!B3)</f>
        <v>Deelzaaktypen van zaaktype 1: Advies verstrekken</v>
      </c>
    </row>
    <row r="2" spans="1:1" x14ac:dyDescent="0.2">
      <c r="A2" s="27" t="s">
        <v>321</v>
      </c>
    </row>
  </sheetData>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J4"/>
  <sheetViews>
    <sheetView workbookViewId="0">
      <pane xSplit="1" ySplit="2" topLeftCell="B3" activePane="bottomRight" state="frozen"/>
      <selection pane="topRight" activeCell="F23" sqref="F23"/>
      <selection pane="bottomLeft" activeCell="F23" sqref="F23"/>
      <selection pane="bottomRight" activeCell="A2" sqref="A2"/>
    </sheetView>
  </sheetViews>
  <sheetFormatPr defaultColWidth="8.625" defaultRowHeight="12.75" x14ac:dyDescent="0.2"/>
  <cols>
    <col min="1" max="1" width="23.625" style="1" customWidth="1"/>
    <col min="2" max="2" width="19.375" style="1" customWidth="1"/>
    <col min="3" max="3" width="56.5" style="1" customWidth="1"/>
    <col min="4" max="1024" width="49.125" style="1" customWidth="1"/>
    <col min="1025" max="16384" width="8.625" style="31"/>
  </cols>
  <sheetData>
    <row r="1" spans="1:1024" s="34" customFormat="1" x14ac:dyDescent="0.2">
      <c r="A1" s="23" t="str">
        <f>CONCATENATE("Gerelateerde zaaktypen van zaaktype ",Zaaktype!B2,": ",Zaaktype!B3)</f>
        <v>Gerelateerde zaaktypen van zaaktype 1: Advies verstrekken</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J1" s="24"/>
      <c r="DK1" s="24"/>
      <c r="DL1" s="24"/>
      <c r="DM1" s="24"/>
      <c r="DN1" s="24"/>
      <c r="DO1" s="24"/>
      <c r="DP1" s="24"/>
      <c r="DQ1" s="24"/>
      <c r="DR1" s="24"/>
      <c r="DS1" s="24"/>
      <c r="DT1" s="24"/>
      <c r="DU1" s="24"/>
      <c r="DV1" s="24"/>
      <c r="DW1" s="24"/>
      <c r="DX1" s="24"/>
      <c r="DY1" s="24"/>
      <c r="DZ1" s="24"/>
      <c r="EA1" s="24"/>
      <c r="EB1" s="24"/>
      <c r="EC1" s="24"/>
      <c r="ED1" s="24"/>
      <c r="EE1" s="24"/>
      <c r="EF1" s="24"/>
      <c r="EG1" s="24"/>
      <c r="EH1" s="24"/>
      <c r="EI1" s="24"/>
      <c r="EJ1" s="24"/>
      <c r="EK1" s="24"/>
      <c r="EL1" s="24"/>
      <c r="EM1" s="24"/>
      <c r="EN1" s="24"/>
      <c r="EO1" s="24"/>
      <c r="EP1" s="24"/>
      <c r="EQ1" s="24"/>
      <c r="ER1" s="24"/>
      <c r="ES1" s="24"/>
      <c r="ET1" s="24"/>
      <c r="EU1" s="24"/>
      <c r="EV1" s="24"/>
      <c r="EW1" s="24"/>
      <c r="EX1" s="24"/>
      <c r="EY1" s="24"/>
      <c r="EZ1" s="24"/>
      <c r="FA1" s="24"/>
      <c r="FB1" s="24"/>
      <c r="FC1" s="24"/>
      <c r="FD1" s="24"/>
      <c r="FE1" s="24"/>
      <c r="FF1" s="24"/>
      <c r="FG1" s="24"/>
      <c r="FH1" s="24"/>
      <c r="FI1" s="24"/>
      <c r="FJ1" s="24"/>
      <c r="FK1" s="24"/>
      <c r="FL1" s="24"/>
      <c r="FM1" s="24"/>
      <c r="FN1" s="24"/>
      <c r="FO1" s="24"/>
      <c r="FP1" s="24"/>
      <c r="FQ1" s="24"/>
      <c r="FR1" s="24"/>
      <c r="FS1" s="24"/>
      <c r="FT1" s="24"/>
      <c r="FU1" s="24"/>
      <c r="FV1" s="24"/>
      <c r="FW1" s="24"/>
      <c r="FX1" s="24"/>
      <c r="FY1" s="24"/>
      <c r="FZ1" s="24"/>
      <c r="GA1" s="24"/>
      <c r="GB1" s="24"/>
      <c r="GC1" s="24"/>
      <c r="GD1" s="24"/>
      <c r="GE1" s="24"/>
      <c r="GF1" s="24"/>
      <c r="GG1" s="24"/>
      <c r="GH1" s="24"/>
      <c r="GI1" s="24"/>
      <c r="GJ1" s="24"/>
      <c r="GK1" s="24"/>
      <c r="GL1" s="24"/>
      <c r="GM1" s="24"/>
      <c r="GN1" s="24"/>
      <c r="GO1" s="24"/>
      <c r="GP1" s="24"/>
      <c r="GQ1" s="24"/>
      <c r="GR1" s="24"/>
      <c r="GS1" s="24"/>
      <c r="GT1" s="24"/>
      <c r="GU1" s="24"/>
      <c r="GV1" s="24"/>
      <c r="GW1" s="24"/>
      <c r="GX1" s="24"/>
      <c r="GY1" s="24"/>
      <c r="GZ1" s="24"/>
      <c r="HA1" s="24"/>
      <c r="HB1" s="24"/>
      <c r="HC1" s="24"/>
      <c r="HD1" s="24"/>
      <c r="HE1" s="24"/>
      <c r="HF1" s="24"/>
      <c r="HG1" s="24"/>
      <c r="HH1" s="24"/>
      <c r="HI1" s="24"/>
      <c r="HJ1" s="24"/>
      <c r="HK1" s="24"/>
      <c r="HL1" s="24"/>
      <c r="HM1" s="24"/>
      <c r="HN1" s="24"/>
      <c r="HO1" s="24"/>
      <c r="HP1" s="24"/>
      <c r="HQ1" s="24"/>
      <c r="HR1" s="24"/>
      <c r="HS1" s="24"/>
      <c r="HT1" s="24"/>
      <c r="HU1" s="24"/>
      <c r="HV1" s="24"/>
      <c r="HW1" s="24"/>
      <c r="HX1" s="24"/>
      <c r="HY1" s="24"/>
      <c r="HZ1" s="24"/>
      <c r="IA1" s="24"/>
      <c r="IB1" s="24"/>
      <c r="IC1" s="24"/>
      <c r="ID1" s="24"/>
      <c r="IE1" s="24"/>
      <c r="IF1" s="24"/>
      <c r="IG1" s="24"/>
      <c r="IH1" s="24"/>
      <c r="II1" s="24"/>
      <c r="IJ1" s="24"/>
      <c r="IK1" s="24"/>
      <c r="IL1" s="24"/>
      <c r="IM1" s="24"/>
      <c r="IN1" s="24"/>
      <c r="IO1" s="24"/>
      <c r="IP1" s="24"/>
      <c r="IQ1" s="24"/>
      <c r="IR1" s="24"/>
      <c r="IS1" s="24"/>
      <c r="IT1" s="24"/>
      <c r="IU1" s="24"/>
      <c r="IV1" s="24"/>
      <c r="IW1" s="24"/>
      <c r="IX1" s="24"/>
      <c r="IY1" s="24"/>
      <c r="IZ1" s="24"/>
      <c r="JA1" s="24"/>
      <c r="JB1" s="24"/>
      <c r="JC1" s="24"/>
      <c r="JD1" s="24"/>
      <c r="JE1" s="24"/>
      <c r="JF1" s="24"/>
      <c r="JG1" s="24"/>
      <c r="JH1" s="24"/>
      <c r="JI1" s="24"/>
      <c r="JJ1" s="24"/>
      <c r="JK1" s="24"/>
      <c r="JL1" s="24"/>
      <c r="JM1" s="24"/>
      <c r="JN1" s="24"/>
      <c r="JO1" s="24"/>
      <c r="JP1" s="24"/>
      <c r="JQ1" s="24"/>
      <c r="JR1" s="24"/>
      <c r="JS1" s="24"/>
      <c r="JT1" s="24"/>
      <c r="JU1" s="24"/>
      <c r="JV1" s="24"/>
      <c r="JW1" s="24"/>
      <c r="JX1" s="24"/>
      <c r="JY1" s="24"/>
      <c r="JZ1" s="24"/>
      <c r="KA1" s="24"/>
      <c r="KB1" s="24"/>
      <c r="KC1" s="24"/>
      <c r="KD1" s="24"/>
      <c r="KE1" s="24"/>
      <c r="KF1" s="24"/>
      <c r="KG1" s="24"/>
      <c r="KH1" s="24"/>
      <c r="KI1" s="24"/>
      <c r="KJ1" s="24"/>
      <c r="KK1" s="24"/>
      <c r="KL1" s="24"/>
      <c r="KM1" s="24"/>
      <c r="KN1" s="24"/>
      <c r="KO1" s="24"/>
      <c r="KP1" s="24"/>
      <c r="KQ1" s="24"/>
      <c r="KR1" s="24"/>
      <c r="KS1" s="24"/>
      <c r="KT1" s="24"/>
      <c r="KU1" s="24"/>
      <c r="KV1" s="24"/>
      <c r="KW1" s="24"/>
      <c r="KX1" s="24"/>
      <c r="KY1" s="24"/>
      <c r="KZ1" s="24"/>
      <c r="LA1" s="24"/>
      <c r="LB1" s="24"/>
      <c r="LC1" s="24"/>
      <c r="LD1" s="24"/>
      <c r="LE1" s="24"/>
      <c r="LF1" s="24"/>
      <c r="LG1" s="24"/>
      <c r="LH1" s="24"/>
      <c r="LI1" s="24"/>
      <c r="LJ1" s="24"/>
      <c r="LK1" s="24"/>
      <c r="LL1" s="24"/>
      <c r="LM1" s="24"/>
      <c r="LN1" s="24"/>
      <c r="LO1" s="24"/>
      <c r="LP1" s="24"/>
      <c r="LQ1" s="24"/>
      <c r="LR1" s="24"/>
      <c r="LS1" s="24"/>
      <c r="LT1" s="24"/>
      <c r="LU1" s="24"/>
      <c r="LV1" s="24"/>
      <c r="LW1" s="24"/>
      <c r="LX1" s="24"/>
      <c r="LY1" s="24"/>
      <c r="LZ1" s="24"/>
      <c r="MA1" s="24"/>
      <c r="MB1" s="24"/>
      <c r="MC1" s="24"/>
      <c r="MD1" s="24"/>
      <c r="ME1" s="24"/>
      <c r="MF1" s="24"/>
      <c r="MG1" s="24"/>
      <c r="MH1" s="24"/>
      <c r="MI1" s="24"/>
      <c r="MJ1" s="24"/>
      <c r="MK1" s="24"/>
      <c r="ML1" s="24"/>
      <c r="MM1" s="24"/>
      <c r="MN1" s="24"/>
      <c r="MO1" s="24"/>
      <c r="MP1" s="24"/>
      <c r="MQ1" s="24"/>
      <c r="MR1" s="24"/>
      <c r="MS1" s="24"/>
      <c r="MT1" s="24"/>
      <c r="MU1" s="24"/>
      <c r="MV1" s="24"/>
      <c r="MW1" s="24"/>
      <c r="MX1" s="24"/>
      <c r="MY1" s="24"/>
      <c r="MZ1" s="24"/>
      <c r="NA1" s="24"/>
      <c r="NB1" s="24"/>
      <c r="NC1" s="24"/>
      <c r="ND1" s="24"/>
      <c r="NE1" s="24"/>
      <c r="NF1" s="24"/>
      <c r="NG1" s="24"/>
      <c r="NH1" s="24"/>
      <c r="NI1" s="24"/>
      <c r="NJ1" s="24"/>
      <c r="NK1" s="24"/>
      <c r="NL1" s="24"/>
      <c r="NM1" s="24"/>
      <c r="NN1" s="24"/>
      <c r="NO1" s="24"/>
      <c r="NP1" s="24"/>
      <c r="NQ1" s="24"/>
      <c r="NR1" s="24"/>
      <c r="NS1" s="24"/>
      <c r="NT1" s="24"/>
      <c r="NU1" s="24"/>
      <c r="NV1" s="24"/>
      <c r="NW1" s="24"/>
      <c r="NX1" s="24"/>
      <c r="NY1" s="24"/>
      <c r="NZ1" s="24"/>
      <c r="OA1" s="24"/>
      <c r="OB1" s="24"/>
      <c r="OC1" s="24"/>
      <c r="OD1" s="24"/>
      <c r="OE1" s="24"/>
      <c r="OF1" s="24"/>
      <c r="OG1" s="24"/>
      <c r="OH1" s="24"/>
      <c r="OI1" s="24"/>
      <c r="OJ1" s="24"/>
      <c r="OK1" s="24"/>
      <c r="OL1" s="24"/>
      <c r="OM1" s="24"/>
      <c r="ON1" s="24"/>
      <c r="OO1" s="24"/>
      <c r="OP1" s="24"/>
      <c r="OQ1" s="24"/>
      <c r="OR1" s="24"/>
      <c r="OS1" s="24"/>
      <c r="OT1" s="24"/>
      <c r="OU1" s="24"/>
      <c r="OV1" s="24"/>
      <c r="OW1" s="24"/>
      <c r="OX1" s="24"/>
      <c r="OY1" s="24"/>
      <c r="OZ1" s="24"/>
      <c r="PA1" s="24"/>
      <c r="PB1" s="24"/>
      <c r="PC1" s="24"/>
      <c r="PD1" s="24"/>
      <c r="PE1" s="24"/>
      <c r="PF1" s="24"/>
      <c r="PG1" s="24"/>
      <c r="PH1" s="24"/>
      <c r="PI1" s="24"/>
      <c r="PJ1" s="24"/>
      <c r="PK1" s="24"/>
      <c r="PL1" s="24"/>
      <c r="PM1" s="24"/>
      <c r="PN1" s="24"/>
      <c r="PO1" s="24"/>
      <c r="PP1" s="24"/>
      <c r="PQ1" s="24"/>
      <c r="PR1" s="24"/>
      <c r="PS1" s="24"/>
      <c r="PT1" s="24"/>
      <c r="PU1" s="24"/>
      <c r="PV1" s="24"/>
      <c r="PW1" s="24"/>
      <c r="PX1" s="24"/>
      <c r="PY1" s="24"/>
      <c r="PZ1" s="24"/>
      <c r="QA1" s="24"/>
      <c r="QB1" s="24"/>
      <c r="QC1" s="24"/>
      <c r="QD1" s="24"/>
      <c r="QE1" s="24"/>
      <c r="QF1" s="24"/>
      <c r="QG1" s="24"/>
      <c r="QH1" s="24"/>
      <c r="QI1" s="24"/>
      <c r="QJ1" s="24"/>
      <c r="QK1" s="24"/>
      <c r="QL1" s="24"/>
      <c r="QM1" s="24"/>
      <c r="QN1" s="24"/>
      <c r="QO1" s="24"/>
      <c r="QP1" s="24"/>
      <c r="QQ1" s="24"/>
      <c r="QR1" s="24"/>
      <c r="QS1" s="24"/>
      <c r="QT1" s="24"/>
      <c r="QU1" s="24"/>
      <c r="QV1" s="24"/>
      <c r="QW1" s="24"/>
      <c r="QX1" s="24"/>
      <c r="QY1" s="24"/>
      <c r="QZ1" s="24"/>
      <c r="RA1" s="24"/>
      <c r="RB1" s="24"/>
      <c r="RC1" s="24"/>
      <c r="RD1" s="24"/>
      <c r="RE1" s="24"/>
      <c r="RF1" s="24"/>
      <c r="RG1" s="24"/>
      <c r="RH1" s="24"/>
      <c r="RI1" s="24"/>
      <c r="RJ1" s="24"/>
      <c r="RK1" s="24"/>
      <c r="RL1" s="24"/>
      <c r="RM1" s="24"/>
      <c r="RN1" s="24"/>
      <c r="RO1" s="24"/>
      <c r="RP1" s="24"/>
      <c r="RQ1" s="24"/>
      <c r="RR1" s="24"/>
      <c r="RS1" s="24"/>
      <c r="RT1" s="24"/>
      <c r="RU1" s="24"/>
      <c r="RV1" s="24"/>
      <c r="RW1" s="24"/>
      <c r="RX1" s="24"/>
      <c r="RY1" s="24"/>
      <c r="RZ1" s="24"/>
      <c r="SA1" s="24"/>
      <c r="SB1" s="24"/>
      <c r="SC1" s="24"/>
      <c r="SD1" s="24"/>
      <c r="SE1" s="24"/>
      <c r="SF1" s="24"/>
      <c r="SG1" s="24"/>
      <c r="SH1" s="24"/>
      <c r="SI1" s="24"/>
      <c r="SJ1" s="24"/>
      <c r="SK1" s="24"/>
      <c r="SL1" s="24"/>
      <c r="SM1" s="24"/>
      <c r="SN1" s="24"/>
      <c r="SO1" s="24"/>
      <c r="SP1" s="24"/>
      <c r="SQ1" s="24"/>
      <c r="SR1" s="24"/>
      <c r="SS1" s="24"/>
      <c r="ST1" s="24"/>
      <c r="SU1" s="24"/>
      <c r="SV1" s="24"/>
      <c r="SW1" s="24"/>
      <c r="SX1" s="24"/>
      <c r="SY1" s="24"/>
      <c r="SZ1" s="24"/>
      <c r="TA1" s="24"/>
      <c r="TB1" s="24"/>
      <c r="TC1" s="24"/>
      <c r="TD1" s="24"/>
      <c r="TE1" s="24"/>
      <c r="TF1" s="24"/>
      <c r="TG1" s="24"/>
      <c r="TH1" s="24"/>
      <c r="TI1" s="24"/>
      <c r="TJ1" s="24"/>
      <c r="TK1" s="24"/>
      <c r="TL1" s="24"/>
      <c r="TM1" s="24"/>
      <c r="TN1" s="24"/>
      <c r="TO1" s="24"/>
      <c r="TP1" s="24"/>
      <c r="TQ1" s="24"/>
      <c r="TR1" s="24"/>
      <c r="TS1" s="24"/>
      <c r="TT1" s="24"/>
      <c r="TU1" s="24"/>
      <c r="TV1" s="24"/>
      <c r="TW1" s="24"/>
      <c r="TX1" s="24"/>
      <c r="TY1" s="24"/>
      <c r="TZ1" s="24"/>
      <c r="UA1" s="24"/>
      <c r="UB1" s="24"/>
      <c r="UC1" s="24"/>
      <c r="UD1" s="24"/>
      <c r="UE1" s="24"/>
      <c r="UF1" s="24"/>
      <c r="UG1" s="24"/>
      <c r="UH1" s="24"/>
      <c r="UI1" s="24"/>
      <c r="UJ1" s="24"/>
      <c r="UK1" s="24"/>
      <c r="UL1" s="24"/>
      <c r="UM1" s="24"/>
      <c r="UN1" s="24"/>
      <c r="UO1" s="24"/>
      <c r="UP1" s="24"/>
      <c r="UQ1" s="24"/>
      <c r="UR1" s="24"/>
      <c r="US1" s="24"/>
      <c r="UT1" s="24"/>
      <c r="UU1" s="24"/>
      <c r="UV1" s="24"/>
      <c r="UW1" s="24"/>
      <c r="UX1" s="24"/>
      <c r="UY1" s="24"/>
      <c r="UZ1" s="24"/>
      <c r="VA1" s="24"/>
      <c r="VB1" s="24"/>
      <c r="VC1" s="24"/>
      <c r="VD1" s="24"/>
      <c r="VE1" s="24"/>
      <c r="VF1" s="24"/>
      <c r="VG1" s="24"/>
      <c r="VH1" s="24"/>
      <c r="VI1" s="24"/>
      <c r="VJ1" s="24"/>
      <c r="VK1" s="24"/>
      <c r="VL1" s="24"/>
      <c r="VM1" s="24"/>
      <c r="VN1" s="24"/>
      <c r="VO1" s="24"/>
      <c r="VP1" s="24"/>
      <c r="VQ1" s="24"/>
      <c r="VR1" s="24"/>
      <c r="VS1" s="24"/>
      <c r="VT1" s="24"/>
      <c r="VU1" s="24"/>
      <c r="VV1" s="24"/>
      <c r="VW1" s="24"/>
      <c r="VX1" s="24"/>
      <c r="VY1" s="24"/>
      <c r="VZ1" s="24"/>
      <c r="WA1" s="24"/>
      <c r="WB1" s="24"/>
      <c r="WC1" s="24"/>
      <c r="WD1" s="24"/>
      <c r="WE1" s="24"/>
      <c r="WF1" s="24"/>
      <c r="WG1" s="24"/>
      <c r="WH1" s="24"/>
      <c r="WI1" s="24"/>
      <c r="WJ1" s="24"/>
      <c r="WK1" s="24"/>
      <c r="WL1" s="24"/>
      <c r="WM1" s="24"/>
      <c r="WN1" s="24"/>
      <c r="WO1" s="24"/>
      <c r="WP1" s="24"/>
      <c r="WQ1" s="24"/>
      <c r="WR1" s="24"/>
      <c r="WS1" s="24"/>
      <c r="WT1" s="24"/>
      <c r="WU1" s="24"/>
      <c r="WV1" s="24"/>
      <c r="WW1" s="24"/>
      <c r="WX1" s="24"/>
      <c r="WY1" s="24"/>
      <c r="WZ1" s="24"/>
      <c r="XA1" s="24"/>
      <c r="XB1" s="24"/>
      <c r="XC1" s="24"/>
      <c r="XD1" s="24"/>
      <c r="XE1" s="24"/>
      <c r="XF1" s="24"/>
      <c r="XG1" s="24"/>
      <c r="XH1" s="24"/>
      <c r="XI1" s="24"/>
      <c r="XJ1" s="24"/>
      <c r="XK1" s="24"/>
      <c r="XL1" s="24"/>
      <c r="XM1" s="24"/>
      <c r="XN1" s="24"/>
      <c r="XO1" s="24"/>
      <c r="XP1" s="24"/>
      <c r="XQ1" s="24"/>
      <c r="XR1" s="24"/>
      <c r="XS1" s="24"/>
      <c r="XT1" s="24"/>
      <c r="XU1" s="24"/>
      <c r="XV1" s="24"/>
      <c r="XW1" s="24"/>
      <c r="XX1" s="24"/>
      <c r="XY1" s="24"/>
      <c r="XZ1" s="24"/>
      <c r="YA1" s="24"/>
      <c r="YB1" s="24"/>
      <c r="YC1" s="24"/>
      <c r="YD1" s="24"/>
      <c r="YE1" s="24"/>
      <c r="YF1" s="24"/>
      <c r="YG1" s="24"/>
      <c r="YH1" s="24"/>
      <c r="YI1" s="24"/>
      <c r="YJ1" s="24"/>
      <c r="YK1" s="24"/>
      <c r="YL1" s="24"/>
      <c r="YM1" s="24"/>
      <c r="YN1" s="24"/>
      <c r="YO1" s="24"/>
      <c r="YP1" s="24"/>
      <c r="YQ1" s="24"/>
      <c r="YR1" s="24"/>
      <c r="YS1" s="24"/>
      <c r="YT1" s="24"/>
      <c r="YU1" s="24"/>
      <c r="YV1" s="24"/>
      <c r="YW1" s="24"/>
      <c r="YX1" s="24"/>
      <c r="YY1" s="24"/>
      <c r="YZ1" s="24"/>
      <c r="ZA1" s="24"/>
      <c r="ZB1" s="24"/>
      <c r="ZC1" s="24"/>
      <c r="ZD1" s="24"/>
      <c r="ZE1" s="24"/>
      <c r="ZF1" s="24"/>
      <c r="ZG1" s="24"/>
      <c r="ZH1" s="24"/>
      <c r="ZI1" s="24"/>
      <c r="ZJ1" s="24"/>
      <c r="ZK1" s="24"/>
      <c r="ZL1" s="24"/>
      <c r="ZM1" s="24"/>
      <c r="ZN1" s="24"/>
      <c r="ZO1" s="24"/>
      <c r="ZP1" s="24"/>
      <c r="ZQ1" s="24"/>
      <c r="ZR1" s="24"/>
      <c r="ZS1" s="24"/>
      <c r="ZT1" s="24"/>
      <c r="ZU1" s="24"/>
      <c r="ZV1" s="24"/>
      <c r="ZW1" s="24"/>
      <c r="ZX1" s="24"/>
      <c r="ZY1" s="24"/>
      <c r="ZZ1" s="24"/>
      <c r="AAA1" s="24"/>
      <c r="AAB1" s="24"/>
      <c r="AAC1" s="24"/>
      <c r="AAD1" s="24"/>
      <c r="AAE1" s="24"/>
      <c r="AAF1" s="24"/>
      <c r="AAG1" s="24"/>
      <c r="AAH1" s="24"/>
      <c r="AAI1" s="24"/>
      <c r="AAJ1" s="24"/>
      <c r="AAK1" s="24"/>
      <c r="AAL1" s="24"/>
      <c r="AAM1" s="24"/>
      <c r="AAN1" s="24"/>
      <c r="AAO1" s="24"/>
      <c r="AAP1" s="24"/>
      <c r="AAQ1" s="24"/>
      <c r="AAR1" s="24"/>
      <c r="AAS1" s="24"/>
      <c r="AAT1" s="24"/>
      <c r="AAU1" s="24"/>
      <c r="AAV1" s="24"/>
      <c r="AAW1" s="24"/>
      <c r="AAX1" s="24"/>
      <c r="AAY1" s="24"/>
      <c r="AAZ1" s="24"/>
      <c r="ABA1" s="24"/>
      <c r="ABB1" s="24"/>
      <c r="ABC1" s="24"/>
      <c r="ABD1" s="24"/>
      <c r="ABE1" s="24"/>
      <c r="ABF1" s="24"/>
      <c r="ABG1" s="24"/>
      <c r="ABH1" s="24"/>
      <c r="ABI1" s="24"/>
      <c r="ABJ1" s="24"/>
      <c r="ABK1" s="24"/>
      <c r="ABL1" s="24"/>
      <c r="ABM1" s="24"/>
      <c r="ABN1" s="24"/>
      <c r="ABO1" s="24"/>
      <c r="ABP1" s="24"/>
      <c r="ABQ1" s="24"/>
      <c r="ABR1" s="24"/>
      <c r="ABS1" s="24"/>
      <c r="ABT1" s="24"/>
      <c r="ABU1" s="24"/>
      <c r="ABV1" s="24"/>
      <c r="ABW1" s="24"/>
      <c r="ABX1" s="24"/>
      <c r="ABY1" s="24"/>
      <c r="ABZ1" s="24"/>
      <c r="ACA1" s="24"/>
      <c r="ACB1" s="24"/>
      <c r="ACC1" s="24"/>
      <c r="ACD1" s="24"/>
      <c r="ACE1" s="24"/>
      <c r="ACF1" s="24"/>
      <c r="ACG1" s="24"/>
      <c r="ACH1" s="24"/>
      <c r="ACI1" s="24"/>
      <c r="ACJ1" s="24"/>
      <c r="ACK1" s="24"/>
      <c r="ACL1" s="24"/>
      <c r="ACM1" s="24"/>
      <c r="ACN1" s="24"/>
      <c r="ACO1" s="24"/>
      <c r="ACP1" s="24"/>
      <c r="ACQ1" s="24"/>
      <c r="ACR1" s="24"/>
      <c r="ACS1" s="24"/>
      <c r="ACT1" s="24"/>
      <c r="ACU1" s="24"/>
      <c r="ACV1" s="24"/>
      <c r="ACW1" s="24"/>
      <c r="ACX1" s="24"/>
      <c r="ACY1" s="24"/>
      <c r="ACZ1" s="24"/>
      <c r="ADA1" s="24"/>
      <c r="ADB1" s="24"/>
      <c r="ADC1" s="24"/>
      <c r="ADD1" s="24"/>
      <c r="ADE1" s="24"/>
      <c r="ADF1" s="24"/>
      <c r="ADG1" s="24"/>
      <c r="ADH1" s="24"/>
      <c r="ADI1" s="24"/>
      <c r="ADJ1" s="24"/>
      <c r="ADK1" s="24"/>
      <c r="ADL1" s="24"/>
      <c r="ADM1" s="24"/>
      <c r="ADN1" s="24"/>
      <c r="ADO1" s="24"/>
      <c r="ADP1" s="24"/>
      <c r="ADQ1" s="24"/>
      <c r="ADR1" s="24"/>
      <c r="ADS1" s="24"/>
      <c r="ADT1" s="24"/>
      <c r="ADU1" s="24"/>
      <c r="ADV1" s="24"/>
      <c r="ADW1" s="24"/>
      <c r="ADX1" s="24"/>
      <c r="ADY1" s="24"/>
      <c r="ADZ1" s="24"/>
      <c r="AEA1" s="24"/>
      <c r="AEB1" s="24"/>
      <c r="AEC1" s="24"/>
      <c r="AED1" s="24"/>
      <c r="AEE1" s="24"/>
      <c r="AEF1" s="24"/>
      <c r="AEG1" s="24"/>
      <c r="AEH1" s="24"/>
      <c r="AEI1" s="24"/>
      <c r="AEJ1" s="24"/>
      <c r="AEK1" s="24"/>
      <c r="AEL1" s="24"/>
      <c r="AEM1" s="24"/>
      <c r="AEN1" s="24"/>
      <c r="AEO1" s="24"/>
      <c r="AEP1" s="24"/>
      <c r="AEQ1" s="24"/>
      <c r="AER1" s="24"/>
      <c r="AES1" s="24"/>
      <c r="AET1" s="24"/>
      <c r="AEU1" s="24"/>
      <c r="AEV1" s="24"/>
      <c r="AEW1" s="24"/>
      <c r="AEX1" s="24"/>
      <c r="AEY1" s="24"/>
      <c r="AEZ1" s="24"/>
      <c r="AFA1" s="24"/>
      <c r="AFB1" s="24"/>
      <c r="AFC1" s="24"/>
      <c r="AFD1" s="24"/>
      <c r="AFE1" s="24"/>
      <c r="AFF1" s="24"/>
      <c r="AFG1" s="24"/>
      <c r="AFH1" s="24"/>
      <c r="AFI1" s="24"/>
      <c r="AFJ1" s="24"/>
      <c r="AFK1" s="24"/>
      <c r="AFL1" s="24"/>
      <c r="AFM1" s="24"/>
      <c r="AFN1" s="24"/>
      <c r="AFO1" s="24"/>
      <c r="AFP1" s="24"/>
      <c r="AFQ1" s="24"/>
      <c r="AFR1" s="24"/>
      <c r="AFS1" s="24"/>
      <c r="AFT1" s="24"/>
      <c r="AFU1" s="24"/>
      <c r="AFV1" s="24"/>
      <c r="AFW1" s="24"/>
      <c r="AFX1" s="24"/>
      <c r="AFY1" s="24"/>
      <c r="AFZ1" s="24"/>
      <c r="AGA1" s="24"/>
      <c r="AGB1" s="24"/>
      <c r="AGC1" s="24"/>
      <c r="AGD1" s="24"/>
      <c r="AGE1" s="24"/>
      <c r="AGF1" s="24"/>
      <c r="AGG1" s="24"/>
      <c r="AGH1" s="24"/>
      <c r="AGI1" s="24"/>
      <c r="AGJ1" s="24"/>
      <c r="AGK1" s="24"/>
      <c r="AGL1" s="24"/>
      <c r="AGM1" s="24"/>
      <c r="AGN1" s="24"/>
      <c r="AGO1" s="24"/>
      <c r="AGP1" s="24"/>
      <c r="AGQ1" s="24"/>
      <c r="AGR1" s="24"/>
      <c r="AGS1" s="24"/>
      <c r="AGT1" s="24"/>
      <c r="AGU1" s="24"/>
      <c r="AGV1" s="24"/>
      <c r="AGW1" s="24"/>
      <c r="AGX1" s="24"/>
      <c r="AGY1" s="24"/>
      <c r="AGZ1" s="24"/>
      <c r="AHA1" s="24"/>
      <c r="AHB1" s="24"/>
      <c r="AHC1" s="24"/>
      <c r="AHD1" s="24"/>
      <c r="AHE1" s="24"/>
      <c r="AHF1" s="24"/>
      <c r="AHG1" s="24"/>
      <c r="AHH1" s="24"/>
      <c r="AHI1" s="24"/>
      <c r="AHJ1" s="24"/>
      <c r="AHK1" s="24"/>
      <c r="AHL1" s="24"/>
      <c r="AHM1" s="24"/>
      <c r="AHN1" s="24"/>
      <c r="AHO1" s="24"/>
      <c r="AHP1" s="24"/>
      <c r="AHQ1" s="24"/>
      <c r="AHR1" s="24"/>
      <c r="AHS1" s="24"/>
      <c r="AHT1" s="24"/>
      <c r="AHU1" s="24"/>
      <c r="AHV1" s="24"/>
      <c r="AHW1" s="24"/>
      <c r="AHX1" s="24"/>
      <c r="AHY1" s="24"/>
      <c r="AHZ1" s="24"/>
      <c r="AIA1" s="24"/>
      <c r="AIB1" s="24"/>
      <c r="AIC1" s="24"/>
      <c r="AID1" s="24"/>
      <c r="AIE1" s="24"/>
      <c r="AIF1" s="24"/>
      <c r="AIG1" s="24"/>
      <c r="AIH1" s="24"/>
      <c r="AII1" s="24"/>
      <c r="AIJ1" s="24"/>
      <c r="AIK1" s="24"/>
      <c r="AIL1" s="24"/>
      <c r="AIM1" s="24"/>
      <c r="AIN1" s="24"/>
      <c r="AIO1" s="24"/>
      <c r="AIP1" s="24"/>
      <c r="AIQ1" s="24"/>
      <c r="AIR1" s="24"/>
      <c r="AIS1" s="24"/>
      <c r="AIT1" s="24"/>
      <c r="AIU1" s="24"/>
      <c r="AIV1" s="24"/>
      <c r="AIW1" s="24"/>
      <c r="AIX1" s="24"/>
      <c r="AIY1" s="24"/>
      <c r="AIZ1" s="24"/>
      <c r="AJA1" s="24"/>
      <c r="AJB1" s="24"/>
      <c r="AJC1" s="24"/>
      <c r="AJD1" s="24"/>
      <c r="AJE1" s="24"/>
      <c r="AJF1" s="24"/>
      <c r="AJG1" s="24"/>
      <c r="AJH1" s="24"/>
      <c r="AJI1" s="24"/>
      <c r="AJJ1" s="24"/>
      <c r="AJK1" s="24"/>
      <c r="AJL1" s="24"/>
      <c r="AJM1" s="24"/>
      <c r="AJN1" s="24"/>
      <c r="AJO1" s="24"/>
      <c r="AJP1" s="24"/>
      <c r="AJQ1" s="24"/>
      <c r="AJR1" s="24"/>
      <c r="AJS1" s="24"/>
      <c r="AJT1" s="24"/>
      <c r="AJU1" s="24"/>
      <c r="AJV1" s="24"/>
      <c r="AJW1" s="24"/>
      <c r="AJX1" s="24"/>
      <c r="AJY1" s="24"/>
      <c r="AJZ1" s="24"/>
      <c r="AKA1" s="24"/>
      <c r="AKB1" s="24"/>
      <c r="AKC1" s="24"/>
      <c r="AKD1" s="24"/>
      <c r="AKE1" s="24"/>
      <c r="AKF1" s="24"/>
      <c r="AKG1" s="24"/>
      <c r="AKH1" s="24"/>
      <c r="AKI1" s="24"/>
      <c r="AKJ1" s="24"/>
      <c r="AKK1" s="24"/>
      <c r="AKL1" s="24"/>
      <c r="AKM1" s="24"/>
      <c r="AKN1" s="24"/>
      <c r="AKO1" s="24"/>
      <c r="AKP1" s="24"/>
      <c r="AKQ1" s="24"/>
      <c r="AKR1" s="24"/>
      <c r="AKS1" s="24"/>
      <c r="AKT1" s="24"/>
      <c r="AKU1" s="24"/>
      <c r="AKV1" s="24"/>
      <c r="AKW1" s="24"/>
      <c r="AKX1" s="24"/>
      <c r="AKY1" s="24"/>
      <c r="AKZ1" s="24"/>
      <c r="ALA1" s="24"/>
      <c r="ALB1" s="24"/>
      <c r="ALC1" s="24"/>
      <c r="ALD1" s="24"/>
      <c r="ALE1" s="24"/>
      <c r="ALF1" s="24"/>
      <c r="ALG1" s="24"/>
      <c r="ALH1" s="24"/>
      <c r="ALI1" s="24"/>
      <c r="ALJ1" s="24"/>
      <c r="ALK1" s="24"/>
      <c r="ALL1" s="24"/>
      <c r="ALM1" s="24"/>
      <c r="ALN1" s="24"/>
      <c r="ALO1" s="24"/>
      <c r="ALP1" s="24"/>
      <c r="ALQ1" s="24"/>
      <c r="ALR1" s="24"/>
      <c r="ALS1" s="24"/>
      <c r="ALT1" s="24"/>
      <c r="ALU1" s="24"/>
      <c r="ALV1" s="24"/>
      <c r="ALW1" s="24"/>
      <c r="ALX1" s="24"/>
      <c r="ALY1" s="24"/>
      <c r="ALZ1" s="24"/>
      <c r="AMA1" s="24"/>
      <c r="AMB1" s="24"/>
      <c r="AMC1" s="24"/>
      <c r="AMD1" s="24"/>
      <c r="AME1" s="24"/>
      <c r="AMF1" s="24"/>
      <c r="AMG1" s="24"/>
      <c r="AMH1" s="24"/>
      <c r="AMI1" s="24"/>
      <c r="AMJ1" s="24"/>
    </row>
    <row r="2" spans="1:1024" x14ac:dyDescent="0.2">
      <c r="A2" s="2" t="s">
        <v>322</v>
      </c>
      <c r="B2" s="2" t="s">
        <v>323</v>
      </c>
      <c r="C2" s="2" t="s">
        <v>11</v>
      </c>
    </row>
    <row r="3" spans="1:1024" ht="51" x14ac:dyDescent="0.2">
      <c r="A3" s="1" t="s">
        <v>324</v>
      </c>
      <c r="B3" s="1" t="s">
        <v>325</v>
      </c>
      <c r="C3" s="31" t="s">
        <v>326</v>
      </c>
    </row>
    <row r="4" spans="1:1024" ht="38.25" x14ac:dyDescent="0.2">
      <c r="A4" s="1" t="s">
        <v>327</v>
      </c>
      <c r="B4" s="1" t="s">
        <v>328</v>
      </c>
      <c r="C4" s="31" t="s">
        <v>329</v>
      </c>
    </row>
  </sheetData>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heetViews>
  <sheetFormatPr defaultColWidth="9" defaultRowHeight="12.75" x14ac:dyDescent="0.2"/>
  <cols>
    <col min="1" max="1" width="10.625" style="22" customWidth="1"/>
    <col min="2" max="16384" width="9" style="22"/>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
  <sheetViews>
    <sheetView workbookViewId="0"/>
  </sheetViews>
  <sheetFormatPr defaultColWidth="9" defaultRowHeight="12.75" x14ac:dyDescent="0.2"/>
  <cols>
    <col min="1" max="1" width="10.625" style="22" customWidth="1"/>
    <col min="2" max="16384" width="9" style="22"/>
  </cols>
  <sheetData/>
  <pageMargins left="0" right="0" top="0.39370078740157483" bottom="0.39370078740157483" header="0" footer="0"/>
  <headerFooter>
    <oddHeader>&amp;C&amp;A</oddHeader>
    <oddFooter>&amp;CPagina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Props1.xml><?xml version="1.0" encoding="utf-8"?>
<ds:datastoreItem xmlns:ds="http://schemas.openxmlformats.org/officeDocument/2006/customXml" ds:itemID="{461CD386-6B83-43F9-893F-3E22507C0AD2}">
  <ds:schemaRefs>
    <ds:schemaRef ds:uri="http://schemas.microsoft.com/sharepoint/v3/contenttype/forms"/>
  </ds:schemaRefs>
</ds:datastoreItem>
</file>

<file path=customXml/itemProps2.xml><?xml version="1.0" encoding="utf-8"?>
<ds:datastoreItem xmlns:ds="http://schemas.openxmlformats.org/officeDocument/2006/customXml" ds:itemID="{2A09CB34-9D10-4E1A-A9B7-6B8C2F3DEECD}"/>
</file>

<file path=customXml/itemProps3.xml><?xml version="1.0" encoding="utf-8"?>
<ds:datastoreItem xmlns:ds="http://schemas.openxmlformats.org/officeDocument/2006/customXml" ds:itemID="{B92B4E76-6C12-44F0-BC56-0BBE9AA43238}">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17</cp:revision>
  <dcterms:created xsi:type="dcterms:W3CDTF">2020-11-30T08:58:43Z</dcterms:created>
  <dcterms:modified xsi:type="dcterms:W3CDTF">2025-07-10T14:41:50Z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