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mc:Choice>
  </mc:AlternateContent>
  <xr:revisionPtr revIDLastSave="1660" documentId="13_ncr:1_{FC9AE5E7-95BA-4A5E-B9B2-CB47561BC42E}" xr6:coauthVersionLast="47" xr6:coauthVersionMax="47" xr10:uidLastSave="{3E6AD124-8AB0-40C8-B8FE-03C7977A6279}"/>
  <bookViews>
    <workbookView xWindow="-120" yWindow="-16320" windowWidth="29040" windowHeight="15720" tabRatio="772"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Resultaten" sheetId="8" r:id="rId9"/>
    <sheet name="Deelzaken" sheetId="14" r:id="rId10"/>
    <sheet name="Gerelateerde zaken" sheetId="10" r:id="rId11"/>
    <sheet name="Afbeelding" sheetId="11" r:id="rId12"/>
    <sheet name="Figuur" sheetId="12" r:id="rId13"/>
  </sheets>
  <definedNames>
    <definedName name="_xlnm._FilterDatabase" localSheetId="8" hidden="1">Resultaten!$A$2:$AMS$42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A1" i="14"/>
  <c r="A1" i="8"/>
  <c r="A1" i="7"/>
  <c r="A1" i="6"/>
  <c r="A1" i="5"/>
  <c r="A1" i="4"/>
  <c r="A1" i="3"/>
  <c r="A1" i="13"/>
  <c r="A1" i="2"/>
</calcChain>
</file>

<file path=xl/sharedStrings.xml><?xml version="1.0" encoding="utf-8"?>
<sst xmlns="http://schemas.openxmlformats.org/spreadsheetml/2006/main" count="1033" uniqueCount="464">
  <si>
    <t>Kenmerk</t>
  </si>
  <si>
    <t>Waarde</t>
  </si>
  <si>
    <t>IDENTIFICATIE</t>
  </si>
  <si>
    <t>OMSCHRIJVING</t>
  </si>
  <si>
    <t>Aanvraag beschikking regulier behandelen</t>
  </si>
  <si>
    <t>CATEGORIE</t>
  </si>
  <si>
    <t>Vergunningverlening</t>
  </si>
  <si>
    <t>DOEL</t>
  </si>
  <si>
    <t>Een besluit nemen op een aanvraag voor een vergunning, ontheffing of vergelijkbare beschikking op basis van een beoordeling van die aanvraag in een reguliere procedure.</t>
  </si>
  <si>
    <t>AANLEIDING</t>
  </si>
  <si>
    <t>De zaakbehandelende organisatie heeft een aanvraag voor een vergunning ontvangen, of start zelf ambtshalve een traject voor het wijzigen of intrekken van een beschikking, waarop een reguliere procedure (Titel 4.1 Algemene wet bestuursrecht) van toepassing is.</t>
  </si>
  <si>
    <t>TOELICHTING</t>
  </si>
  <si>
    <t>Tijdens de intake wordt geverifieerd of de aanvraag in een reguliere procedure behandeld kan worden. Is dit niet mogelijk dan betreft het een zaak van het type ´Aanvraag beschikking uitgebreid behandelen´. Ook kan geconstateerd worden dat volstaan kan worden met het behandelen als melding met een zaak van het type ‘Melding activiteit behandelen’. 
Opschorting is mogelijk bij verzoek om aanvullende informatie en in de in artikel 4:15, tweede lid Algemene wet bestuursrecht genoemde gevallen.
Binnen de beslistermijn van 8 weken kan - mits gemotiveerd - besloten worden de beslistermijn en daarmee de doorlooptijd te verlengen.</t>
  </si>
  <si>
    <t>INDICATIE INTERN OF EXTERN</t>
  </si>
  <si>
    <t>Extern</t>
  </si>
  <si>
    <t>HANDELING INITIATOR</t>
  </si>
  <si>
    <t>Aanvragen</t>
  </si>
  <si>
    <t>ONDERWERP</t>
  </si>
  <si>
    <t>Vergunning reguliere procedure</t>
  </si>
  <si>
    <t>HANDELING BEHANDELAAR</t>
  </si>
  <si>
    <t>Behandelen</t>
  </si>
  <si>
    <t>DOORLOOPTIJD BEHANDELING (KALENDERDAGEN) (2.1)</t>
  </si>
  <si>
    <t>- DOORLOOPTIJD - PERIODE-EENHEID (2.2)</t>
  </si>
  <si>
    <t>week</t>
  </si>
  <si>
    <t>- DOORLOOPTIJD - PERIODEDUUR (2.2)</t>
  </si>
  <si>
    <t>8</t>
  </si>
  <si>
    <t>SERVICENORM BEHANDELING (KALENDERDAGEN) (2.1)</t>
  </si>
  <si>
    <t>OPSCHORTING / AANHOUDING MOGELIJK</t>
  </si>
  <si>
    <t>Ja</t>
  </si>
  <si>
    <t>VERLENGING MOGELIJK</t>
  </si>
  <si>
    <t>VERLENGINGSTERMIJN</t>
  </si>
  <si>
    <t>TREFWOORDEN</t>
  </si>
  <si>
    <t>Vergunning regulier</t>
  </si>
  <si>
    <t>VERTROUWELIJKHEIDAANDUIDING</t>
  </si>
  <si>
    <t>Openbaar</t>
  </si>
  <si>
    <t>VERANTWOORDELIJKE</t>
  </si>
  <si>
    <t>PUBLICATIE-INDICATIE</t>
  </si>
  <si>
    <t>PUBLICATIETEKST</t>
  </si>
  <si>
    <t>PRODUCT / DIENST:</t>
  </si>
  <si>
    <t>- NAAM</t>
  </si>
  <si>
    <t>G01 - Beschikking omgevingsvergunning één activiteit (RE10 - Omgevingsvergunning)
G02 - Beschikking omgevingsvergunning één activiteit (RE10 - Omgevingsvergunning)
G03 - Beschikking omgevingsvergunning één activiteit (RE10 - Omgevingsvergunning)
G04 - Beschikking omgevingsvergunning één activiteit (RE10 - Omgevingsvergunning)
G05 - Beschikking omgevingsvergunning één activiteit (RE10 - Omgevingsvergunning)
G06 - Beschikking omgevingsvergunning één activiteit (RE10 - Omgevingsvergunning)
G07 - Beschikking omgevingsvergunning één activiteit (RE10 - Omgevingsvergunning)
G08 - Beschikking omgevingsvergunning één activiteit (RE10 - Omgevingsvergunning)
G10 - Beschikking omgevingsvergunning één activiteit (RE10 - Omgevingsvergunning)
G12 - Beschikking omgevingsvergunning één activiteit (RE10 - Omgevingsvergunning)
G14 - Beschikking omgevingsvergunning één activiteit (RE10 - Omgevingsvergunning)
G15 - Beschikking omgevingsvergunning één activiteit (RE10 - Omgevingsvergunning)
G16 - Beschikking omgevingsvergunning één activiteit (RE10 - Omgevingsvergunning)
MBZK01 - Beschikking omgevingsvergunning één activiteit (RE10 - Omgevingsvergunning)
MBZK02 - Beschikking omgevingsvergunning meer activiteiten (RE10 - Omgevingsvergunning)
MBZK03 - Beschikking omgevingsvergunning meer activiteiten (RE10 - Omgevingsvergunning)
P01 - Beschikking omgevingsvergunning één activiteit (RE10 - Omgevingsvergunning)
P02 - Beschikking omgevingsvergunning één actviteit (RE10 - Omgevingsvergunning)
P03 - Beschikking omgevingsvergunning één activiteit (RE10 - Omgevingsvergunning)
P06 - Beschikking omgevingsvergunning één actviteit (RE10 - Omgevingsvergunning)
P21 - Beschikking omgevingsvergunning één activiteit (RE10 - Omgevingsvergunning)
P22 - Beschikking omgevingsvergunning één activiteit (RE10 - Omgevingsvergunning)
P23 - Beschikking omgevingsvergunning één activiteit (RE10 - Omgevingsvergunning)
P25 - Beschikking omgevingsvergunning één activiteit (RE10 - Omgevingsvergunning)
P26 - Beschikking omgevingsvergunning één activiteit (RE10 - Omgevingsvergunning)
P27 - Beschikking omgevingsvergunning één activiteit (RE10 - Omgevingsvergunning)
P30 - Actualisatiebeschikking omgevingsvergunning (RE10 - Omgevingsvergunning)
P31 - Actualisatiebeschikking omgevingsvergunning (RE10 - Omgevingsvergunning)
P33 - Beschikking vervanging omgevingsvergunning(en) (revisievergunning) (RE10 - Omgevingsvergunning)
P34 - Beschikking omgevingsvergunning meer activiteiten (RE10 - Omgevingsvergunning)
P35 - Beschikking omgevingsvergunning meer activiteiten (RE10 - Omgevingsvergunning)
P36 - Beschikking omgevingsvergunning meer activiteiten (RE10 - Omgevingsvergunning)
P37 - Beschikking omgevingsvergunning meer activiteiten (RE10 - Omgevingsvergunning)
P41 - Beschikking omgevingsvergunning meer activiteiten (RE10 - Omgevingsvergunning)
P42 - Beschikking omgevingsvergunning meer activiteiten (RE10 - Omgevingsvergunning)
P43 - Beschikking omgevingsvergunning meer activiteiten (RE10 - Omgevingsvergunning)
P44 - Beschikking omgevingsvergunning meer activiteiten (RE10 - Omgevingsvergunning)
P45 - Beschikking omgevingsvergunning meer activiteiten (RE10 - Omgevingsvergunning)
P46 - Beschikking omgevingsvergunning meer activiteiten (RE10 - Omgevingsvergunning)
P47 - Beschikking omgevingsvergunning meer activiteiten (RE10 - Omgevingsvergunning)
P48 - Beschikking omgevingsvergunning meer activiteiten (RE10 - Omgevingsvergunning)
P49 - Beschikking omgevingsvergunning meer activiteiten (RE10 - Omgevingsvergunning)
P50 - Beschikking omgevingsvergunning meer activiteiten (RE10 - Omgevingsvergunning)
P51 - Beschikking omgevingsvergunning meer activiteiten (RE10 - Omgevingsvergunning)
P52 - Beschikking omgevingsvergunning meer activiteiten (RE10 - Omgevingsvergunning)
P53 - Beschikking omgevingsvergunning meer activiteiten (RE10 - Omgevingsvergunning)
P54 - Beschikking omgevingsvergunning meer activiteiten (RE10 - Omgevingsvergunning)
P55 - Beschikking omgevingsvergunning meer activiteiten (RE10 - Omgevingsvergunning)
P57 - Beschikking omgevingsvergunning meer activiteiten (RE10 - Omgevingsvergunning)
P58 - Beschikking omgevingsvergunning meer activiteiten (RE10 - Omgevingsvergunning)
P59 - Beschikking omgevingsvergunning meer activiteiten (RE10 - Omgevingsvergunning)
P60 - Beschikking omgevingsvergunning meer activiteiten (RE10 - Omgevingsvergunning)</t>
  </si>
  <si>
    <t>- LINK</t>
  </si>
  <si>
    <t>REFERENTIEPROCES:</t>
  </si>
  <si>
    <t>VERANTWOORDINGSRELATIE</t>
  </si>
  <si>
    <t>ARCHIEFCLASSIFICATIE (2.2):</t>
  </si>
  <si>
    <t>- BRON</t>
  </si>
  <si>
    <t>- CODE (2.1)</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</si>
  <si>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</si>
  <si>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</si>
  <si>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</si>
  <si>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</si>
  <si>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</si>
  <si>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</si>
  <si>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</si>
  <si>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</si>
  <si>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</si>
  <si>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</si>
  <si>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</si>
  <si>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</si>
  <si>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</si>
  <si>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</si>
  <si>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</si>
  <si>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</si>
  <si>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</si>
  <si>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</si>
  <si>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</si>
  <si>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1</t>
  </si>
  <si>
    <t>Zaak gestart</t>
  </si>
  <si>
    <t>kalenderdagen</t>
  </si>
  <si>
    <t>Nee</t>
  </si>
  <si>
    <t>Aanvraag
Ontvangstbevestiging</t>
  </si>
  <si>
    <t>2</t>
  </si>
  <si>
    <t>Intake afgerond</t>
  </si>
  <si>
    <t>3</t>
  </si>
  <si>
    <t>Getoetst aan regelgeving</t>
  </si>
  <si>
    <t>4</t>
  </si>
  <si>
    <t>Beschikking vastgesteld</t>
  </si>
  <si>
    <t>Beschikking bekend gemaakt</t>
  </si>
  <si>
    <t>De verschuldigde leges zijn berekend en de legesbeschikking is opgesteld (indien van toepassing). De beschikking (of de reactie) is verzonden en gepubliceerd.</t>
  </si>
  <si>
    <t>Zaak afgerond</t>
  </si>
  <si>
    <t>Statustype</t>
  </si>
  <si>
    <t>Itemnaam</t>
  </si>
  <si>
    <t>Vraagstelling</t>
  </si>
  <si>
    <t>Verplicht</t>
  </si>
  <si>
    <t>1 - Registratie</t>
  </si>
  <si>
    <t>1 - Bevoegd gezag</t>
  </si>
  <si>
    <t>2 - Beschikking vereist</t>
  </si>
  <si>
    <t>3 - Kennisgeving</t>
  </si>
  <si>
    <t>Is van de aanvraag een kennisgeving gedaan?</t>
  </si>
  <si>
    <t>Van de aanvraag wordt een kennisgeving gedaan in het elektronisch gemeenteblad. Dit is alleen verplicht bij een aanvraag voor een omgevingsvergunning.</t>
  </si>
  <si>
    <t>4 - Behandelaar</t>
  </si>
  <si>
    <t>Is de zaak toegewezen aan een behandelaar?</t>
  </si>
  <si>
    <t>De aanvraag wordt toegewezen aan een hoofdbehandelaar, die als voornaamste taak heeft het zorgdragen dat de aanvraag de procedure correct en tijdig doorloopt en zorgt voor een integrale afstemming. Voor kleinere aanvragen kan de hoofdbehandelaar ook de inhoudelijke beoordelaar zijn.</t>
  </si>
  <si>
    <t>5 - Procedure</t>
  </si>
  <si>
    <t>Is de procedure bepaald?</t>
  </si>
  <si>
    <t>6 - Procedurebrief</t>
  </si>
  <si>
    <t>Is de procedurebrief verstuurd?</t>
  </si>
  <si>
    <t>De gemeente bevestigt aan de aanvrager
a) dat de gemeente bevoegd gezag is voor de aanvraag;
b) welke procedure gevolgd wordt en welke beslistermijn van toepassing is; en
c) welke rechtsmiddelen tegen het uiteindelijke besluit openstaan.</t>
  </si>
  <si>
    <t>1 - Gerelateerde verzoeken</t>
  </si>
  <si>
    <t>Is gecontroleerd of er gerelateerde verzoeken zijn?</t>
  </si>
  <si>
    <t>Er wordt gecontroleerd of er gerelateerde verzoeken zijn, die op dezelfde locatie in het DSO zijn ingediend. Ten eerste om te bepalen of er verzoeken aan elkaar gekoppeld moeten worden en ten tweede om te bepalen of er afstemming nodig is met ketenpartners/behandeldiensten.</t>
  </si>
  <si>
    <t>2 - Coördinatieregeling</t>
  </si>
  <si>
    <t>Is de coördinatieregeling van toepassing?</t>
  </si>
  <si>
    <t>Indien er in de gerelateerde verzoeken aanvragen voor wateractiviteiten aanwezig zijn, wordt bepaald of de coördinatieregeling van toepassing is. In dat geval moet overleg plaatsvinden met de betreffende ketenpartner.</t>
  </si>
  <si>
    <t>3 - Indieningsvereisten</t>
  </si>
  <si>
    <t>Voldoet de aanvraag aan de indieningsvereisten?</t>
  </si>
  <si>
    <t>Gecontroleerd wordt of de ingediende aanvraag voldoet aan de gestelde indieningsvereisten. Als daar niet aan is voldaan, wordt de aanvrager in de gelegenheid  gesteld de aanvraag aan te vullen. De beslistermijn wordt opgeschort tot de dagen waarop de aanvraag is aangevuld of de daarvoor gestelde termijn is verstreken.</t>
  </si>
  <si>
    <t>4 - Ketenpartners</t>
  </si>
  <si>
    <t>Zijn ketenpartners betrokken?</t>
  </si>
  <si>
    <t>Uit een controle op eventuele toepasselijke kaders vanuit regelgeving volgt in hoeverre advies en/of instemming van ketenpartners (met name vanwege deskundigheid en/of belanghebbendheid ter zake) nodig is. De ketenpartners worden betrokken conform de eerder gemaakte werkafspraken. In geval van instemming door andere bestuursorganen is de reguliere procedure vier weken langer.</t>
  </si>
  <si>
    <t>5 - Interne adviseurs</t>
  </si>
  <si>
    <t>Zijn interne adviseurs betrokken?</t>
  </si>
  <si>
    <t>De interne adviseurs worden betrokken conform de eerder gemaakte werkafspraken.</t>
  </si>
  <si>
    <t>6 - Inhoudelijke toetsing</t>
  </si>
  <si>
    <t>Is de aanvraag inhoudelijk getoetst?</t>
  </si>
  <si>
    <t>* Er wordt getoetst aan de beoordelingsregels die van toepassing zijn.
* Bij vergunningaanvragen worden er zonodig vergunningvoorschriften opgesteld.
* Inhoudelijk deskundige interne en/of externe adviseurs brengen eventueel een advies uit.
* Mogelijk komen tijdens de inhoudelijke toetsing nog aanvullende stukken binnen. Naar aanleiding van een onvoldoende aanvulling door de initiatiefnemer of het uitblijven daarvan kan de gemeente besluiten de aanvraag buiten behandeling te stellen.
* Bij de inhoudelijke toetsing wordt ook onderzocht in hoeverre er nadeelcompensatie van toepassing is.</t>
  </si>
  <si>
    <t>7 - Integrale afweging</t>
  </si>
  <si>
    <t>Is er een integrale afweging gemaakt?</t>
  </si>
  <si>
    <t>Om te komen tot het besluit tot verlenen of weigeren van een aanvraag kan een integrale afweging van alle deeltoetsingen door het bevoegd gezag gemaakt worden, voor zover de beoordelingsregels dit toelaten. Hierbij kan het zinvol zijn ook de interne adviseurs, betrokken ketenpartners, de initiatiefnemer en betrokken belanghebbenden te raadplegen.</t>
  </si>
  <si>
    <t>8 - Concept beschikking formuleren</t>
  </si>
  <si>
    <t>Is er een concept beschikking geformuleerd?</t>
  </si>
  <si>
    <t>Er wordt een concept beschikking opgesteld.
Als bij de reguliere procedure een initiatiefnemer of belanghebbende(n) naar verwachting bedenkingen zullen hebben tegen de voorgenomen beschikking, moet het bevoegd gezag de initiatiefnemer of belanghebbende(n) in de gelegenheid stellen zienswijzen naar voren te brengen</t>
  </si>
  <si>
    <t>9 - Concept beschikking accorderen</t>
  </si>
  <si>
    <t>Heeft het college de concept beschikking geaccordeerd?</t>
  </si>
  <si>
    <t>Bij complexe en/of beleidsgevoelige aanvragen accordeert het College de concept beschikking. Tevens wordt bepaald of advies aan de Gemeenteraad gevraagd moet worden.</t>
  </si>
  <si>
    <t>10 - Concept beschikking aanpassen</t>
  </si>
  <si>
    <t>Is de concept beschikking aangepast?</t>
  </si>
  <si>
    <t>Indien nodig wordt de concept beschikking aangepast naar aanleiding van binnengekomen zienswijzen.</t>
  </si>
  <si>
    <t>11 - Raadadvies</t>
  </si>
  <si>
    <t>Heeft de Raad advies uitgebracht?</t>
  </si>
  <si>
    <t>De Gemeenteraad heeft voor door de Gemeenteraad zelf aangewezen gevallen bij een BOPA bindend adviesrecht.</t>
  </si>
  <si>
    <t>12 - Verwerken raadsadvies</t>
  </si>
  <si>
    <t>Is het advies van de Raad verwerkt?</t>
  </si>
  <si>
    <t>Is de beschikking vastgesteld?</t>
  </si>
  <si>
    <t>1 - Vaststellen</t>
  </si>
  <si>
    <t>Afhankelijk van de situatie stelt de gemandateerde ambtenaar de beschikking vast of stelt het college de beschikking vast.</t>
  </si>
  <si>
    <t>1 - Leges</t>
  </si>
  <si>
    <t>Zijn de leges berekend?</t>
  </si>
  <si>
    <t>Het berekenen van de leges voor de behandeling van de aanvraag. Eventueel wordt een legesbeschikking opgesteld.</t>
  </si>
  <si>
    <t>2 - Bekendmaken beschikking</t>
  </si>
  <si>
    <t>Is de beschikking bekend gemaakt aan de aanvrager?</t>
  </si>
  <si>
    <t>De beschikking wordt verzonden aan de aanvrager zodat het besluit in werking kan treden.</t>
  </si>
  <si>
    <t>3 - Mededelen beschilkking</t>
  </si>
  <si>
    <t>Is de beschikking meegedeeld aan belanghebbenden?</t>
  </si>
  <si>
    <t>De beschikking wordt verzonden aan de derde-belanghebbenden. Daarnaast moet de beschikking ook verzonden worden aan de wettelijke adviseur(s) indien er afgeweken wordt van het advies.</t>
  </si>
  <si>
    <t>4 - Kennisgeven beschikking</t>
  </si>
  <si>
    <t>Is van de beschikking een kennisgeving gedaan?</t>
  </si>
  <si>
    <t>Van de beschikking wordt een kennisgeving gedaan in het elektronisch gemeenteblad.</t>
  </si>
  <si>
    <t>Zijn de voor de beschikking relevante registraties bijgewerkt?</t>
  </si>
  <si>
    <t>Een beschikking zal in veel gevallen leiden tot een mutatie in één of meer (basis)registraties. Denk aan het verlenen van toestemming voor het slopen van een pand (moet leiden tot verwijdering van dat pand in de BAG), het oprichten van een bouwwerk (moet leiden tot creatie van dat bouwwerk in de BAG), het toestaan van een milieubelastende activiteit (kan leiden tot opname van die activiteit op de 'risicokaart' of het verbuiken van gebruiksruimte, bijvoorbeeld t.a.v. geluid) of het nemen van een handhavingsbesluit t.a.v. een overtreding (kan leiden tot registratie van een beperking in de landelijke voorziening voor de WKPB).
Dit zijn slechts enkele voorbeelden; alle relevante (basis)registraties dienen te worden bijgewerkt op basis van de beschikking.</t>
  </si>
  <si>
    <t>1 - Registraties</t>
  </si>
  <si>
    <t>2 - Omgevingsplan</t>
  </si>
  <si>
    <t>Moet het omgevingsplan worden bijgewerkt?</t>
  </si>
  <si>
    <t>Indien sprake is van een buitenplanse omgevingsplanactiviteit (BOPA) moet deze in bepaalde gevallen verwerkt worden in het omgevingsplan. In dat geval worden de collega's die de omgevingsplan wijzigingen doorvoeren geïnformeerd over deze BOPA. Daarbij worden eventuele inzichten uit de beoordelingsfase van de aanvraag als aandachtspunten meegegeven.</t>
  </si>
  <si>
    <t>3 - Toezicht</t>
  </si>
  <si>
    <t>Moet Toezicht worden gehouden?</t>
  </si>
  <si>
    <t>Toezicht wordt aangestuurd. Daarbij worden eventuele inzichten uit de beoordelingsfase van de aanvraag als aandachtspunten aan de toezichthouders meegegeven.</t>
  </si>
  <si>
    <t>Omschrijving generiek</t>
  </si>
  <si>
    <t>Soort betrokkene</t>
  </si>
  <si>
    <t>Mag zetten Statustype</t>
  </si>
  <si>
    <t>Aanvrager</t>
  </si>
  <si>
    <t>Initiator</t>
  </si>
  <si>
    <t>Natuurlijk persoon, Niet-natuurlijk persoon, Vestiging</t>
  </si>
  <si>
    <t>Administratief medewerker</t>
  </si>
  <si>
    <t>Behandelaar</t>
  </si>
  <si>
    <t>1 - Zaak gestart
5 - Zaak afgerond</t>
  </si>
  <si>
    <t>Adviseur</t>
  </si>
  <si>
    <t>Andere organisatie</t>
  </si>
  <si>
    <t>Belanghebbende</t>
  </si>
  <si>
    <t>Niet-natuurlijk persoon</t>
  </si>
  <si>
    <t>Derde belanghebbende</t>
  </si>
  <si>
    <t>Natuurlijk persoon, niet-natuurlijk persoon</t>
  </si>
  <si>
    <t>Gemachtigde</t>
  </si>
  <si>
    <t>Zaakbehandelaar</t>
  </si>
  <si>
    <t>2 - Intake afgerond
3 - Getoetst aan regelgeving</t>
  </si>
  <si>
    <t>Zaakverantwoordelijke</t>
  </si>
  <si>
    <t>Beslisser</t>
  </si>
  <si>
    <t>4 - Beschikking vastgesteld</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</si>
  <si>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</si>
  <si>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</si>
  <si>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</si>
  <si>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</si>
  <si>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</si>
  <si>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</si>
  <si>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</si>
  <si>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</si>
  <si>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</si>
  <si>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</si>
  <si>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</si>
  <si>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Besluit waarop de zaak betrekking heeft.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</si>
  <si>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</si>
  <si>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</si>
  <si>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</si>
  <si>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</si>
  <si>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</si>
  <si>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</si>
  <si>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</si>
  <si>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</si>
  <si>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</si>
  <si>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</si>
  <si>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</si>
  <si>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</si>
  <si>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</si>
  <si>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</si>
  <si>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</si>
  <si>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</si>
  <si>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</si>
  <si>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</si>
  <si>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</si>
  <si>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</si>
  <si>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</si>
  <si>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</si>
  <si>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</si>
  <si>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</si>
  <si>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</si>
  <si>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zaak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</si>
  <si>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</si>
  <si>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</si>
  <si>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</si>
  <si>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</si>
  <si>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</si>
  <si>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</si>
  <si>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</si>
  <si>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</si>
  <si>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</si>
  <si>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</si>
  <si>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</si>
  <si>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</si>
  <si>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</si>
  <si>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</si>
  <si>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</si>
  <si>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</si>
  <si>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</si>
  <si>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</si>
  <si>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</si>
  <si>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</si>
  <si>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</si>
  <si>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</si>
  <si>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</si>
  <si>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</si>
  <si>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</si>
  <si>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</si>
  <si>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</si>
  <si>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</si>
  <si>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</si>
  <si>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</si>
  <si>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</si>
  <si>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</si>
  <si>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</si>
  <si>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</si>
  <si>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</si>
  <si>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</si>
  <si>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aanvraag betrekking heeft en waarop het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</si>
  <si>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</si>
  <si>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</si>
  <si>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</si>
  <si>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</si>
  <si>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</si>
  <si>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</si>
  <si>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</si>
  <si>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</si>
  <si>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</si>
  <si>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</si>
  <si>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</si>
  <si>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</si>
  <si>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</si>
  <si>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</si>
  <si>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</si>
  <si>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</si>
  <si>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</si>
  <si>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</si>
  <si>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</si>
  <si>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</si>
  <si>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</si>
  <si>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</si>
  <si>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</si>
  <si>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</si>
  <si>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</si>
  <si>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</si>
  <si>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</si>
  <si>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Volgnummer</t>
  </si>
  <si>
    <t>Richting</t>
  </si>
  <si>
    <t>Informatieobjecttype</t>
  </si>
  <si>
    <t>Inkomend</t>
  </si>
  <si>
    <t>Aanvraag</t>
  </si>
  <si>
    <t>Uitgaand</t>
  </si>
  <si>
    <t>Ontvangstbevestiging</t>
  </si>
  <si>
    <t>Bericht ander bevoegd gezag</t>
  </si>
  <si>
    <t>Melding overgang bevoegdheid</t>
  </si>
  <si>
    <t>Beschikking niet-vergunning- of ontheffingplichtig</t>
  </si>
  <si>
    <t>Procedurebevestiging</t>
  </si>
  <si>
    <t>Adviesaanvraag</t>
  </si>
  <si>
    <t>Intern</t>
  </si>
  <si>
    <t>Advies</t>
  </si>
  <si>
    <t>Verzoek om aanvullende informatie</t>
  </si>
  <si>
    <t>Aanvullende informatie</t>
  </si>
  <si>
    <t>Beschikking buiten behandeling laten</t>
  </si>
  <si>
    <t>Beschikking verlenging beslistermijn</t>
  </si>
  <si>
    <t>Beschikking aanhouding beslissing</t>
  </si>
  <si>
    <t>Mededeling van aanhouding</t>
  </si>
  <si>
    <t>Verzoek om aanpassing aanvraag</t>
  </si>
  <si>
    <t>Instemming met opschorting</t>
  </si>
  <si>
    <t>Uitnodiging tot geven zienswijze</t>
  </si>
  <si>
    <t>Zienswijze</t>
  </si>
  <si>
    <t>Zienswijzereactie</t>
  </si>
  <si>
    <t>Begeleidende brief bij besluit</t>
  </si>
  <si>
    <t>Beschikking op aanvraag</t>
  </si>
  <si>
    <t>Mededeling besluit</t>
  </si>
  <si>
    <t>Legesbeschikking</t>
  </si>
  <si>
    <t>Bericht van intrekking</t>
  </si>
  <si>
    <t>Bevestiging van intrekking</t>
  </si>
  <si>
    <t>Procesverantwoording</t>
  </si>
  <si>
    <t>Besluittype</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</si>
  <si>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</si>
  <si>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</si>
  <si>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</si>
  <si>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</si>
  <si>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</si>
  <si>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</si>
  <si>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</si>
  <si>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</si>
  <si>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</si>
  <si>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</si>
  <si>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</si>
  <si>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</si>
  <si>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</si>
  <si>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</si>
  <si>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</si>
  <si>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</si>
  <si>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</si>
  <si>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</si>
  <si>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</si>
  <si>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</si>
  <si>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Afgebroken</t>
  </si>
  <si>
    <t>gem</t>
  </si>
  <si>
    <t>11.4</t>
  </si>
  <si>
    <t>Vernietigen</t>
  </si>
  <si>
    <t>Afgehandeld</t>
  </si>
  <si>
    <t>De aanvraag is afgebroken. Deze is foutief ingeboekt, overgedragen aan een ander gezag of door de indiener ingetrokken</t>
  </si>
  <si>
    <t>Buiten behandeling</t>
  </si>
  <si>
    <t>Geweigerd</t>
  </si>
  <si>
    <t>11.2</t>
  </si>
  <si>
    <t>Besluit buiten behandeling stellen  </t>
  </si>
  <si>
    <t>Begeleidende brief bij besluit
Beschikking op aanvraag
Mededeling besluit</t>
  </si>
  <si>
    <t>Beschikking op aanvraag  </t>
  </si>
  <si>
    <t>Geweigerd - BAG</t>
  </si>
  <si>
    <t>omg.verg. met brondoc. BAG</t>
  </si>
  <si>
    <t>11.2.1</t>
  </si>
  <si>
    <t>Blijvend bewaren</t>
  </si>
  <si>
    <t>Aanvraag betreft omgevingsvergunning met brondocumenten BAG</t>
  </si>
  <si>
    <t>Ingetrokken</t>
  </si>
  <si>
    <t>11.3</t>
  </si>
  <si>
    <t>Let op: betreft de intrekking van de toestemming, niet de intrekking van een aanvraag daartoe!
(Intrekken aanvraag = Afgebroken)</t>
  </si>
  <si>
    <t>Bericht van intrekking
Bevestiging van intrekking</t>
  </si>
  <si>
    <t>Ingetrokken - BAG</t>
  </si>
  <si>
    <t>11.3.1</t>
  </si>
  <si>
    <t>Aanvraag betreft omgevingsvergunning met brondocumenten BAG. Let op: betreft de intrekking van de toestemming, niet de intrekking van een aanvraag daartoe.
(Intrekken aanvraag = Afgebroken)</t>
  </si>
  <si>
    <t>Ingetrokken - Milieu</t>
  </si>
  <si>
    <t>activiteit milieu</t>
  </si>
  <si>
    <t>11.3.2</t>
  </si>
  <si>
    <t>Aanvraag betreft omgevingsvergunning met activiteit milieu.
"Let op: betreft de intrekking van de toestemming, niet de intrekking van een aanvraag daartoe!"
(Intrekken aanvraag = Afgebroken)</t>
  </si>
  <si>
    <t>Verleend</t>
  </si>
  <si>
    <t>11.1</t>
  </si>
  <si>
    <t>Vervaldatum besluit</t>
  </si>
  <si>
    <t>Verleend - BAG</t>
  </si>
  <si>
    <t>11.1.5</t>
  </si>
  <si>
    <t>Aanvraag betreft vergunning met brondocumenten BAG</t>
  </si>
  <si>
    <t>Verleend - kappen</t>
  </si>
  <si>
    <t>kappen met herplantplicht</t>
  </si>
  <si>
    <t>11.1.12</t>
  </si>
  <si>
    <t>Aanvraag betreft omgevingsvergunning kappen met herplantplicht</t>
  </si>
  <si>
    <t>Verleend - kort</t>
  </si>
  <si>
    <t>kortdurende activiteit of gebeurtenis</t>
  </si>
  <si>
    <t>11.1.1</t>
  </si>
  <si>
    <t>Aanvraag betreft vergunning voor een kortdurende activiteit of gebeurtenis</t>
  </si>
  <si>
    <t>Verleend - omg.act</t>
  </si>
  <si>
    <t>activiteit milieu, bouw, sloop, monument, strijdig gebruik en/of aanleg etc.</t>
  </si>
  <si>
    <t>11.1.6</t>
  </si>
  <si>
    <t>Aanvraag betreft omgevingsvergunning voor activiteit milieu, bouw, sloop, monument, strijdig gebruik en/of aanleg etc.</t>
  </si>
  <si>
    <t>Verleend - periode</t>
  </si>
  <si>
    <t>afgebakende periode</t>
  </si>
  <si>
    <t>11.1.2</t>
  </si>
  <si>
    <t>Aanvraag betreft vergunning voor een afgebakende periode</t>
  </si>
  <si>
    <t>Geweigerd (P)</t>
  </si>
  <si>
    <t>prov</t>
  </si>
  <si>
    <t>Ingangsdatum besluit</t>
  </si>
  <si>
    <t>Verlenen van vergunningen voor het uitvoeren van bijzondere transporten op provinciale vaarwegen.</t>
  </si>
  <si>
    <t>Verlenen van vergunningen voor het winnen van kalksteen</t>
  </si>
  <si>
    <t>Verlenen van vergunningen voor het onttrekken van grondwater of het infiltreren van water</t>
  </si>
  <si>
    <t>Verlenen, wijzigen of intrekken van ontgrondingsvergunningen</t>
  </si>
  <si>
    <t>Verlenen van omgevingsvergunningen</t>
  </si>
  <si>
    <t>Behandelen van verzoeken voor het wijzigen of intrekken van (voorschriften van) omgevingsvergunningen</t>
  </si>
  <si>
    <t>Verlenen van vergunningen voor het in gebruik nemen van een groeve anders dan voor de winning van kalksteen of daaraan wijzigingen aan te brengen</t>
  </si>
  <si>
    <t>Verlenen van ontheffingen, vergunningen e.d. op grond van provinciale regelgeving</t>
  </si>
  <si>
    <t>Verlenen van verklaringen van geen bedenking tegen het verlenen van omgevingsvergunningen door een ander bestuursorgaan</t>
  </si>
  <si>
    <t>Ingetrokken (P)</t>
  </si>
  <si>
    <t>Verlenen van vergunningen voor het uitvoeren van bijzondere transporten op provinciale vaarwegen</t>
  </si>
  <si>
    <t>blijvend bewaren</t>
  </si>
  <si>
    <t>Verleend (P)</t>
  </si>
  <si>
    <t>De aanvraag is afgebroken. Deze is foutief ingeboekt, overgedragen aan een ander gezag, of door de indiener ingetrokken</t>
  </si>
  <si>
    <t>Aanvaarde lozing met consequenties voor milieu</t>
  </si>
  <si>
    <t>ws</t>
  </si>
  <si>
    <t>2.4.2</t>
  </si>
  <si>
    <t>Aanvaarde lozing zonder consequenties voor milieu</t>
  </si>
  <si>
    <t>Na vervallen</t>
  </si>
  <si>
    <t>Verleende ligplaatsvergunning</t>
  </si>
  <si>
    <t>2.4.1</t>
  </si>
  <si>
    <t>Verleende tijdelijke vergunning</t>
  </si>
  <si>
    <t>Verleende watervergunning</t>
  </si>
  <si>
    <t>Niet ontvankelijk</t>
  </si>
  <si>
    <t>Niet vergunningplichtige activiteit</t>
  </si>
  <si>
    <t>Buiten behandeling gelaten</t>
  </si>
  <si>
    <t>2.4.1.</t>
  </si>
  <si>
    <t>0.0</t>
  </si>
  <si>
    <t>DEELZAAKTYPE</t>
  </si>
  <si>
    <t>GERELATEERD ZAAKTYPE</t>
  </si>
  <si>
    <t>AARD RELATIE</t>
  </si>
  <si>
    <t>9 - Melding activiteit behandelen</t>
  </si>
  <si>
    <t>Onderwerp</t>
  </si>
  <si>
    <t>De zaak van het zaaktype 'Melding activiteit behandelen' waarin is geconstateerd dat voor de gemelde activiteit maatwerkvoorschriften moeten worden opgesteld in een reguliere procedure. Daartoe is onderhavige zaak van het zaaktype 'Aanvraag beschikking regulier behandelen' gestart.</t>
  </si>
  <si>
    <t>In sommige situaties moet gelijktijdig met het indienen van een aanvraag voor een Omgevingsvergunning tevens een melding worden gedaan (art. 8.41a Wet milieubeheer). In die gevallen wordt onderhavige zaak van het zaaktype 'Aanvraag beschikking regulier behandelen' waarin de aanvraag voor de Omgevingsvergunning wordt behandeld, gerelateerd aan de zaak van het zaaktype 'Melding activiteit behandelen' waarin de gelijktijdige melding wordt beoordeeld.</t>
  </si>
  <si>
    <t>4 - Controle uitvoeren</t>
  </si>
  <si>
    <t>De zaak van het zaaktype 'Controle uitvoeren' waarin is geconstateerd dat aanvrager in strijd met vigerende regelgeving handelt. Aanvrager heeft, daartoe in de gelegenheid gesteld door het bevoegd gezag, ten behoeve van legalisatie een aanvraag ingediend die in onderhavige zaak van het zaaktype 'Aanvraag beschikking regulier behandelen' wordt behandeld.</t>
  </si>
  <si>
    <t>1 - Advies verstrekken</t>
  </si>
  <si>
    <t>In een aantal gevallen is wettelijk voorgeschreven dat advies/instemming moet worden gevraagd aan een persoon die of college dat niet werkzaam is onder de verantwoordelijkheid van de zaakbehandelende organisatie (wettelijke adviseurs, Afdeling 3.3 Algemene wet bestuursrecht, § 2.5 Wet algemene bepalingen omgevingsrecht, art. 16.15 en art. 16.16 Omgevingswet). Het kan echter ook nodig zijn advies in te winnen bij in- of externe adviseurs zonder dat daartoe een directe wettelijke verplichting bestaat, bijvoorbeeld omdat aspecten van de aanvraag een specialistische beoordeling vergen. De adviesaanvraag van de zaakbehandelende organisatie wordt door de adviseur behandeld in een zaak van het zaaktype 'Advies verstrekken'.</t>
  </si>
  <si>
    <t>12 - Zienswijze behandelen</t>
  </si>
  <si>
    <t>Naar aanleiding van het voornemen de beslistermijn te verlengen (art. 3:18, lid 2 Algemene wet bestuursrecht), een voorgenomen geheel of gedeeltelijke afwijzing van de aanvraag (art. 4:7 lid 1 Algemene wet bestuursrecht, juncto art. 4:11 lid 1 Algemene wet bestuursrecht en art. 4:12, lid 1 Algemene wet bestuursrecht), verwachte bedenkingen van een belanghebbende (art. 4:8, lid 1 Algemene wet bestuursrecht, juncto art. 4:11 lid 1 Algemene wet bestuursrecht en art. 4:12, lid 1 Algemene wet bestuursrecht) kunnen door belanghebbenden en/of aanvrager zienswijzen naar voren worden gebracht. Behandeling van een zienswijze kan plaatsvinden in een zaak van het zaaktype 'Zienswijze behandelen' bij binnenkomst van de zienswijze.</t>
  </si>
  <si>
    <t>5 - Handhavingsbesluit nemen</t>
  </si>
  <si>
    <t>De zaak van het zaaktype 'Handhavingsbesluit nemen' waarin het bevoegd gezag heeft besloten een sanctie op te leggen, omdat aanvrager handelt in strijd met regelgeving (bijvoorbeeld de uitvoering van een activiteit zonder te beschikken over de daarvoor vereiste vergunning). Naar aanleiding van dit besluit heeft aanvrager een aanvraag ingediend, die wordt behandeld in onderhavige zaak van het zaaktype 'Aanvraag beschikking regulier behandelen'.</t>
  </si>
  <si>
    <t>De zaak van het zaaktype 'Handhavingsbesluit nemen' waarin het bevoegd gezag heeft besloten dat een eerdere beschikking wordt gewijzigd of ingetrokken, omdat is geconstateerd dat de onder toezicht staande in strijd met vigerende regelgeving handelt of heeft gehandeld. Deze ambtshalve wijziging of intrekking wordt in onderhavige zaak van het zaaktype 'Aanvraag beschikking regulier behandelen' behandeld.</t>
  </si>
  <si>
    <t>10 - Aanvraag beschikking regulier behandelen</t>
  </si>
  <si>
    <t>De zaak van het zaaktype 'Aanvraag beschikking regulier behandelen' waarin, ten behoeve van hetzelfde project, voor één of enkele activiteiten eerder een beschikking is gevraagd (gefaseerde behandeling aanvraag omgevingsvergunning, art. 2.5 Wet algemene bepalingen omgevingsrecht).</t>
  </si>
  <si>
    <t>11 - Aanvraag beschikking uitgebreid behandelen</t>
  </si>
  <si>
    <t>De zaak van het zaaktype 'Aanvraag beschikking uitgebreid behandelen' waarin de behandeling van onderhavige aanvraag initieel plaatsvond. Voornoemde zaak is voortijdig afgehandeld, omdat tijdens de behandeling is gebleken dat de aanvraag in een reguliere procedure behandeld dient te worden. Daartoe is onderhavige zaak van het zaaktype 'Aanvraag beschikking regulier behandelen' gestart.</t>
  </si>
  <si>
    <t>Vervolg</t>
  </si>
  <si>
    <t>Indien blijkt dat de aanvraag die in onderhavige zaak van het zaaktype 'Aanvraag beschikking regulier behandelen' wordt behandeld, in de uitgebreide procedure behandeld dient te worden, wordt onderhavige zaak voortijdig afgehandeld en wordt een zaak gestart van het zaaktype 'Aanvraag beschikking uitgebreid behandelen'.</t>
  </si>
  <si>
    <t>In veel gevallen wordt na het nemen van een beschikking een zaak van het zaaktype 'Controle uitvoeren' gepland, teneinde erop toe te zien dat de beschikking wordt nageleefd.</t>
  </si>
  <si>
    <t>14 - Voorlopige voorziening behandelen</t>
  </si>
  <si>
    <t>De zaak van het zaaktype 'Voorlopige voorziening behandelen', waarin de partij die het besluit bestrijdt een verzoek om voorlopige voorziening indient bij de voorzieningenrechter van een rechtsprekende instantie, in afwachting van de behandeling van het bezwaar, beroep of hoger beroep tegen dat besluit.</t>
  </si>
  <si>
    <t>16 - Bezwaar behandelen</t>
  </si>
  <si>
    <t>De zaak van het zaaktype 'Bezwaar behandelen' waarin de indiener bezwaar heeft gemaakt tegen besluit in de zaak met hetzelfde onderwerp, welk in onderhavige zaak wordt behandeld.</t>
  </si>
  <si>
    <t>20 - Bezwaar behandelen zonder bezwaarcommissie</t>
  </si>
  <si>
    <t>De zaak van het zaaktype 'Bezwaar behandelen zonder bezwaarcommissie' waarin de indiener bezwaar heeft gemaakt tegen besluit in de zaak met hetzelfde onderwerp, welk in onderhavige zaak wordt behandeld.</t>
  </si>
  <si>
    <t>Behandelen aanvraag</t>
  </si>
  <si>
    <t>https://www.gemmaonline.nl/wiki?title=Uitwerking_bedrijfsproces&amp;proces=Omgevingswet/id-dc1f3a32-ad7f-42e8-9dcc-fff64b513fbf</t>
  </si>
  <si>
    <t>De zaak is geregistreerd, maar is nog geen sprake van een afgeronde registratie. Er is - al dan niet geautomatiseerd - een bevestiging van ontvangst verzonden.</t>
  </si>
  <si>
    <t>Allereerst is beoordeeld of de zaakbehandelende organisatie het bevoegde gezag is (of door het bevoegd gezag is gemandateerd voor behandeling). Zo niet, dan is de aanvraag overgedragen aan het juiste bevoegd gezag met een bericht aan de aanvrager dat de aanvraag is doorgezonden naar het juiste bevoegd gezag. Er is beoordeeld of de ontvangen aanvraag inderdaad een beschikking vereist (bijvoorbeeld omdat het een activiteit betreft die vergunningplichtig is). Er is, indien van toepassing, een kennisgeving gedaan van de ontvangen aanvraag.  De zaak is toegewezen aan de behandelend medewerker of het behandelend organisatieonderdeel. De procedure is bepaald (zonodig in samenspraak met in- en externe adviseurs) en de procedurebrief is verzonden.</t>
  </si>
  <si>
    <t>De aanvraag is inhoudelijk beoordeeld - zonodig in samenspraak met in- en externe adviseurs - op aanvaardbaarheid en volledigheid van de ontvangen informatie. Er is gecontroleerd of er gerelateerde verzoeken zijn en of de coördinatieregeling van toepassing is. De aanvraag is getoetst aan de relevante regelgeving. Waar nodig zijn in- en/of externe adviseurs gevraagd te adviseren over specifieke aspecten van de aanvraag. Bepaald is, of er ketenpartners betrokken moeten worden voor de behandeling van de aanvraag. Als de in de aanvraag verstrekte informatie niet voldoende is bevonden of als is gebleken dat de aanvrager niet gemachtigd of belanghebbende is, is de aanvrager verzocht, binnen een redelijke termijn aanvullende informatie te verstrekken en is de procedure gedurende die termijn opgeschort. Als na het verstrijken van genoemde termijn de aanvaardbaarheid en volledigheid onvoldoende is gebleven, is de aanvraag niet-ontvankelijk verklaard en buiten behandeling gesteld. Er heeft een integrale afweging plaatsgevonden (zonodig in samenspraak met in- en externe adviseurs), waarbij inhoudelijke afstemming met initiatiefnemer en belanghebbenden kan hebben plaatsgevonden.
Bij de reguliere procedure:
* is er een concept beschikking geformuleerd
* is eventueel geaccordeerd door het college
* zijn eventuele zienswijzen van de initiatiefnemer of belanghebbenden verwerkt
* is eventueel verkregen raadsadvies verwerkt</t>
  </si>
  <si>
    <t>Het concept van de definitieve beschikking kan ambtelijk zijn vastgesteld of zijn vastgesteld door het college.</t>
  </si>
  <si>
    <t>De relevante registraties (BAG, BRK, BRK-PB, Risicokaart, et cetera) zijn bijgewerkt. Indien nodig is een vervolgzaak geïnitieerd (voor bijvoorbeeld het bijwerken van het omgevingsplan of voor het houden van toezicht) en het zaakdossier is afgesloten en gearchiveerd.</t>
  </si>
  <si>
    <r>
      <rPr>
        <strike/>
        <sz val="10"/>
        <rFont val="Arial"/>
        <family val="2"/>
      </rPr>
      <t>14</t>
    </r>
    <r>
      <rPr>
        <sz val="10"/>
        <rFont val="Arial"/>
        <family val="2"/>
      </rPr>
      <t xml:space="preserve">
10</t>
    </r>
  </si>
  <si>
    <t>Is de aanvraag geregistreerd?</t>
  </si>
  <si>
    <t>Bij aanvragen die via het Omgevingsloket worden ingediend ontvangt de gemeente geautomatiseerd een signaal vanuit het DSO; in dat geval kan het VTH-/zaak-systeem de aanvraag automatisch registreren. Bij aanvragen die op papier rechtstreeks bij de gemeente ingediend worden en bij ambtshalve besluiten is handmatige registratie nodig in het VTH-systeem.</t>
  </si>
  <si>
    <t>2 - Ontvangstbevestiging</t>
  </si>
  <si>
    <t>Er wordt onverwijld (bij voorkeur automatisch) een bevestiging van ontvangst van de aanvraag verzonden aan de aanvrager. De dag van ontvangst wordt hierin vermeld. Als er geen elektronisch adres bekend is, wordt bepaald op welke wijze communicatie met de indiener plaatsvindt.</t>
  </si>
  <si>
    <t>Is gecontroleerd of voor de aanvraag een vergunningplicht/toestemmingsplicht gelijkwaardige maatregel/optie maatwerkvoorschrift geldt?</t>
  </si>
  <si>
    <t>Gecontroleerd wordt of voor de aangevraagde activiteiten een vergunningplicht of toestemmingsplicht gelijkwaardige maatregel geldt of een maatwerkvoorschrift is toegelaten. Als één of meerdere van de aangevraagde activiteiten niet onder de voorgenoemde plichten valt of niet is toegelaten, wordt de aanvraag geheel of gedeeltelijk buiten behandeling gesteld.
Hier wordt ook gecontroleerd of een maatwerkvoorschrift in de vorm van een vergunningsvoorschrift moet worden opgenomen.</t>
  </si>
  <si>
    <t>Is een bevestiging van ontvangst verzonden?</t>
  </si>
  <si>
    <t>Is de zaakbehandelende organisatie bevoegd de aanvraag te behandelen?</t>
  </si>
  <si>
    <t>Beoordeeld wordt of de zaakbehandelende organisatie de aanvraag kan behandelen, hetzij omdat de zaakbehandelende organisatie bevoegd gezag is, dan wel omdat het bevoegd gezag de zaakbehandelende organisatie heeft gemandateerd de beschikking voor te bereiden (beperkt mandaat) of volledig af te handelen (volledig mandaat). Indien de zaakbehandelende organisatie niet bevoegd of onvoldoende gemandateerd is, wordt de aanvraag direct doorgezonden naar het juiste bevoegd gezag en wordt de aanvrager hierover geïnformeerd.</t>
  </si>
  <si>
    <r>
      <rPr>
        <b/>
        <sz val="10"/>
        <rFont val="Arial"/>
        <family val="2"/>
      </rPr>
      <t>Omgevingsvergunningen:</t>
    </r>
    <r>
      <rPr>
        <sz val="10"/>
        <rFont val="Arial"/>
        <family val="2"/>
      </rPr>
      <t xml:space="preserve">
Er wordt gekeken of de reguliere of de uitgebreide procedure wettelijk van toepassing is. Bepaald wordt of de beslistermijn met 6 weken wordt verlengd. Eventueel kan in overleg met de initiatiefnemer overgegaan worden naar de uitgebreide procedure.
Voor bepaalde BOPA's kan het bevoegd gezag beslissen dat de uitgebreide procedure wordt gevolgd. De initiatiefnemer moet hierin gehoord worden.
</t>
    </r>
    <r>
      <rPr>
        <b/>
        <sz val="10"/>
        <rFont val="Arial"/>
        <family val="2"/>
      </rPr>
      <t xml:space="preserve">Maatwerkvoorschriften en gelijkwaardige maatregelen:
</t>
    </r>
    <r>
      <rPr>
        <sz val="10"/>
        <rFont val="Arial"/>
        <family val="2"/>
      </rPr>
      <t>Hierbij is de algemene Awb-procedure voor beschikkingen van toepassing.</t>
    </r>
  </si>
  <si>
    <t>Niet vergunningplichtig</t>
  </si>
  <si>
    <t>Voor de activiteit waarvoor de vergunning is aangevraagd, is geen vergunning benodigd of moet een melding of informatie ingediend worden. </t>
  </si>
  <si>
    <t>Bericht niet-vergunningplichtig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</si>
</sst>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name val="Arial"/>
      <family val="2"/>
    </font>
    <font>
      <b/>
      <sz val="10"/>
      <name val="Arial"/>
      <family val="2"/>
    </font>
    <font>
      <sz val="10"/>
      <color theme="1"/>
      <name val="Arial"/>
      <family val="2"/>
    </font>
    <font>
      <sz val="8"/>
      <name val="Liberation Sans"/>
      <family val="2"/>
    </font>
    <font>
      <u/>
      <sz val="10"/>
      <name val="Liberation Sans"/>
      <family val="2"/>
    </font>
    <font>
      <strike/>
      <sz val="10"/>
      <name val="Arial"/>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5">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35">
    <xf numFmtId="0" fontId="0" fillId="0" borderId="0" xfId="0"/>
    <xf numFmtId="0" fontId="16" fillId="0" borderId="0" xfId="0" applyFont="1" applyAlignment="1">
      <alignment horizontal="left" vertical="top" wrapText="1"/>
    </xf>
    <xf numFmtId="0" fontId="15" fillId="0" borderId="0" xfId="0" applyFont="1" applyAlignment="1">
      <alignment horizontal="left" vertical="top" wrapText="1"/>
    </xf>
    <xf numFmtId="14" fontId="15" fillId="0" borderId="0" xfId="0" applyNumberFormat="1" applyFont="1" applyAlignment="1">
      <alignment horizontal="left" vertical="top" wrapText="1"/>
    </xf>
    <xf numFmtId="0" fontId="16" fillId="0" borderId="0" xfId="0" applyFont="1" applyAlignment="1">
      <alignment vertical="top" wrapText="1"/>
    </xf>
    <xf numFmtId="0" fontId="15" fillId="0" borderId="0" xfId="0" applyFont="1" applyAlignment="1">
      <alignment vertical="top" wrapText="1"/>
    </xf>
    <xf numFmtId="0" fontId="15" fillId="0" borderId="0" xfId="0" applyFont="1" applyAlignment="1">
      <alignment horizontal="left" vertical="top"/>
    </xf>
    <xf numFmtId="0" fontId="16" fillId="0" borderId="0" xfId="0" applyFont="1" applyAlignment="1">
      <alignment horizontal="left" vertical="top"/>
    </xf>
    <xf numFmtId="0" fontId="15" fillId="0" borderId="0" xfId="0" applyFont="1"/>
    <xf numFmtId="0" fontId="15" fillId="0" borderId="0" xfId="0" applyFont="1" applyAlignment="1">
      <alignment wrapText="1"/>
    </xf>
    <xf numFmtId="0" fontId="17" fillId="0" borderId="0" xfId="0" applyFont="1"/>
    <xf numFmtId="0" fontId="16" fillId="0" borderId="0" xfId="0" applyFont="1" applyAlignment="1">
      <alignment vertical="top"/>
    </xf>
    <xf numFmtId="0" fontId="17" fillId="0" borderId="0" xfId="0" applyFont="1" applyAlignment="1">
      <alignment horizontal="left" vertical="top"/>
    </xf>
    <xf numFmtId="0" fontId="15" fillId="0" borderId="0" xfId="0" applyFont="1" applyAlignment="1">
      <alignment vertical="top"/>
    </xf>
    <xf numFmtId="0" fontId="11" fillId="0" borderId="0" xfId="12"/>
    <xf numFmtId="0" fontId="15" fillId="0" borderId="0" xfId="0" quotePrefix="1" applyFont="1" applyAlignment="1">
      <alignment horizontal="left" vertical="top" wrapText="1"/>
    </xf>
    <xf numFmtId="0" fontId="16" fillId="0" borderId="0" xfId="0" quotePrefix="1" applyFont="1" applyAlignment="1">
      <alignment horizontal="left" vertical="top" wrapText="1"/>
    </xf>
    <xf numFmtId="0" fontId="19" fillId="0" borderId="0" xfId="12" applyFont="1"/>
    <xf numFmtId="0" fontId="16" fillId="0" borderId="0" xfId="0" applyFont="1"/>
    <xf numFmtId="0" fontId="20" fillId="0" borderId="0" xfId="0" applyFont="1" applyAlignment="1">
      <alignment horizontal="left" vertical="top" wrapText="1"/>
    </xf>
    <xf numFmtId="0" fontId="16" fillId="0" borderId="2" xfId="0" applyFont="1" applyBorder="1" applyAlignment="1">
      <alignment vertical="top"/>
    </xf>
    <xf numFmtId="0" fontId="15" fillId="0" borderId="2" xfId="0" applyFont="1" applyBorder="1" applyAlignment="1">
      <alignment vertical="top" wrapText="1"/>
    </xf>
    <xf numFmtId="0" fontId="16" fillId="0" borderId="4" xfId="0" applyFont="1" applyBorder="1" applyAlignment="1">
      <alignment vertical="top" wrapText="1"/>
    </xf>
    <xf numFmtId="0" fontId="15" fillId="0" borderId="4" xfId="0" applyFont="1" applyBorder="1" applyAlignment="1">
      <alignment vertical="top" wrapText="1"/>
    </xf>
    <xf numFmtId="0" fontId="16" fillId="0" borderId="3" xfId="0" applyFont="1" applyBorder="1" applyAlignment="1">
      <alignment vertical="top" wrapText="1"/>
    </xf>
    <xf numFmtId="0" fontId="15" fillId="0" borderId="3" xfId="0" applyFont="1" applyBorder="1" applyAlignment="1">
      <alignment vertical="top" wrapText="1"/>
    </xf>
    <xf numFmtId="0" fontId="15" fillId="0" borderId="2" xfId="0" applyFont="1" applyBorder="1" applyAlignment="1">
      <alignment horizontal="left" vertical="top" wrapText="1"/>
    </xf>
    <xf numFmtId="0" fontId="16" fillId="0" borderId="0" xfId="0" applyFont="1" applyFill="1" applyAlignment="1">
      <alignment horizontal="left" vertical="top"/>
    </xf>
    <xf numFmtId="0" fontId="16" fillId="0" borderId="0" xfId="0" applyFont="1" applyFill="1" applyAlignment="1">
      <alignment horizontal="left" vertical="top"/>
    </xf>
    <xf numFmtId="0" fontId="16" fillId="0" borderId="0" xfId="0" applyFont="1" applyFill="1" applyAlignment="1">
      <alignment vertical="top"/>
    </xf>
    <xf numFmtId="0" fontId="16" fillId="0" borderId="0" xfId="0" applyFont="1" applyFill="1" applyAlignment="1">
      <alignment horizontal="left" vertical="top" wrapText="1"/>
    </xf>
    <xf numFmtId="0" fontId="16" fillId="0" borderId="0" xfId="0" applyFont="1" applyFill="1" applyAlignment="1">
      <alignment vertical="top" wrapText="1"/>
    </xf>
    <xf numFmtId="0" fontId="15" fillId="0" borderId="0" xfId="0" applyFont="1" applyFill="1" applyAlignment="1">
      <alignment vertical="top" wrapText="1"/>
    </xf>
    <xf numFmtId="0" fontId="15" fillId="0" borderId="0" xfId="0" applyFont="1" applyFill="1" applyAlignment="1">
      <alignment horizontal="left" vertical="top" wrapText="1"/>
    </xf>
    <xf numFmtId="0" fontId="15" fillId="0" borderId="0" xfId="0" applyFont="1" applyFill="1" applyAlignment="1">
      <alignment vertical="top"/>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emmaonline.nl/wiki?title=Uitwerking_bedrijfsproces&amp;proces=Omgevingswet/id-dc1f3a32-ad7f-42e8-9dcc-fff64b513fb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I44"/>
  <sheetViews>
    <sheetView tabSelected="1" workbookViewId="0">
      <pane xSplit="1" ySplit="1" topLeftCell="B2" activePane="bottomRight" state="frozen"/>
      <selection pane="topRight" activeCell="B3" sqref="B3"/>
      <selection pane="bottomLeft" activeCell="B3" sqref="B3"/>
      <selection pane="bottomRight" activeCell="A2" sqref="A2"/>
    </sheetView>
  </sheetViews>
  <sheetFormatPr defaultColWidth="8.75" defaultRowHeight="12.75" x14ac:dyDescent="0.2"/>
  <cols>
    <col min="1" max="1" width="53.625" style="1" customWidth="1"/>
    <col min="2" max="2" width="81.25" style="2" customWidth="1"/>
    <col min="3" max="1023" width="53.625" style="2" customWidth="1"/>
    <col min="1024" max="16384" width="8.75" style="9"/>
  </cols>
  <sheetData>
    <row r="1" spans="1:2" s="8" customFormat="1" x14ac:dyDescent="0.2">
      <c r="A1" s="7" t="s">
        <v>0</v>
      </c>
      <c r="B1" s="7" t="s">
        <v>1</v>
      </c>
    </row>
    <row r="2" spans="1:2" x14ac:dyDescent="0.2">
      <c r="A2" s="1" t="s">
        <v>2</v>
      </c>
      <c r="B2" s="1">
        <v>10</v>
      </c>
    </row>
    <row r="3" spans="1:2" x14ac:dyDescent="0.2">
      <c r="A3" s="1" t="s">
        <v>3</v>
      </c>
      <c r="B3" s="1" t="s">
        <v>4</v>
      </c>
    </row>
    <row r="4" spans="1:2" x14ac:dyDescent="0.2">
      <c r="A4" s="1" t="s">
        <v>5</v>
      </c>
      <c r="B4" s="2" t="s">
        <v>6</v>
      </c>
    </row>
    <row r="5" spans="1:2" ht="25.5" x14ac:dyDescent="0.2">
      <c r="A5" s="1" t="s">
        <v>7</v>
      </c>
      <c r="B5" s="2" t="s">
        <v>8</v>
      </c>
    </row>
    <row r="6" spans="1:2" ht="38.25" x14ac:dyDescent="0.2">
      <c r="A6" s="1" t="s">
        <v>9</v>
      </c>
      <c r="B6" s="2" t="s">
        <v>10</v>
      </c>
    </row>
    <row r="7" spans="1:2" ht="102" x14ac:dyDescent="0.2">
      <c r="A7" s="1" t="s">
        <v>11</v>
      </c>
      <c r="B7" s="2" t="s">
        <v>12</v>
      </c>
    </row>
    <row r="8" spans="1:2" x14ac:dyDescent="0.2">
      <c r="A8" s="1" t="s">
        <v>13</v>
      </c>
      <c r="B8" s="2" t="s">
        <v>14</v>
      </c>
    </row>
    <row r="9" spans="1:2" x14ac:dyDescent="0.2">
      <c r="A9" s="1" t="s">
        <v>15</v>
      </c>
      <c r="B9" s="2" t="s">
        <v>16</v>
      </c>
    </row>
    <row r="10" spans="1:2" x14ac:dyDescent="0.2">
      <c r="A10" s="1" t="s">
        <v>17</v>
      </c>
      <c r="B10" s="2" t="s">
        <v>18</v>
      </c>
    </row>
    <row r="11" spans="1:2" x14ac:dyDescent="0.2">
      <c r="A11" s="1" t="s">
        <v>19</v>
      </c>
      <c r="B11" s="2" t="s">
        <v>20</v>
      </c>
    </row>
    <row r="12" spans="1:2" x14ac:dyDescent="0.2">
      <c r="A12" s="1" t="s">
        <v>21</v>
      </c>
      <c r="B12" s="2">
        <v>56</v>
      </c>
    </row>
    <row r="13" spans="1:2" x14ac:dyDescent="0.2">
      <c r="A13" s="15" t="s">
        <v>22</v>
      </c>
      <c r="B13" s="2" t="s">
        <v>23</v>
      </c>
    </row>
    <row r="14" spans="1:2" x14ac:dyDescent="0.2">
      <c r="A14" s="15" t="s">
        <v>24</v>
      </c>
      <c r="B14" s="15" t="s">
        <v>25</v>
      </c>
    </row>
    <row r="15" spans="1:2" x14ac:dyDescent="0.2">
      <c r="A15" s="1" t="s">
        <v>26</v>
      </c>
      <c r="B15" s="2">
        <v>56</v>
      </c>
    </row>
    <row r="16" spans="1:2" x14ac:dyDescent="0.2">
      <c r="A16" s="15" t="s">
        <v>22</v>
      </c>
      <c r="B16" s="2" t="s">
        <v>23</v>
      </c>
    </row>
    <row r="17" spans="1:2" x14ac:dyDescent="0.2">
      <c r="A17" s="15" t="s">
        <v>24</v>
      </c>
      <c r="B17" s="15" t="s">
        <v>25</v>
      </c>
    </row>
    <row r="18" spans="1:2" x14ac:dyDescent="0.2">
      <c r="A18" s="1" t="s">
        <v>27</v>
      </c>
      <c r="B18" s="2" t="s">
        <v>28</v>
      </c>
    </row>
    <row r="19" spans="1:2" x14ac:dyDescent="0.2">
      <c r="A19" s="1" t="s">
        <v>29</v>
      </c>
      <c r="B19" s="2" t="s">
        <v>28</v>
      </c>
    </row>
    <row r="20" spans="1:2" x14ac:dyDescent="0.2">
      <c r="A20" s="1" t="s">
        <v>30</v>
      </c>
      <c r="B20" s="2">
        <v>42</v>
      </c>
    </row>
    <row r="21" spans="1:2" x14ac:dyDescent="0.2">
      <c r="A21" s="1" t="s">
        <v>31</v>
      </c>
      <c r="B21" s="2" t="s">
        <v>32</v>
      </c>
    </row>
    <row r="22" spans="1:2" x14ac:dyDescent="0.2">
      <c r="A22" s="1" t="s">
        <v>33</v>
      </c>
      <c r="B22" s="2" t="s">
        <v>34</v>
      </c>
    </row>
    <row r="23" spans="1:2" x14ac:dyDescent="0.2">
      <c r="A23" s="1" t="s">
        <v>35</v>
      </c>
    </row>
    <row r="24" spans="1:2" x14ac:dyDescent="0.2">
      <c r="A24" s="1" t="s">
        <v>36</v>
      </c>
      <c r="B24" s="2" t="s">
        <v>28</v>
      </c>
    </row>
    <row r="25" spans="1:2" x14ac:dyDescent="0.2">
      <c r="A25" s="1" t="s">
        <v>37</v>
      </c>
    </row>
    <row r="26" spans="1:2" x14ac:dyDescent="0.2">
      <c r="A26" s="1" t="s">
        <v>38</v>
      </c>
    </row>
    <row r="27" spans="1:2" ht="409.5" x14ac:dyDescent="0.2">
      <c r="A27" s="16" t="s">
        <v>39</v>
      </c>
      <c r="B27" s="2" t="s">
        <v>40</v>
      </c>
    </row>
    <row r="28" spans="1:2" x14ac:dyDescent="0.2">
      <c r="A28" s="16" t="s">
        <v>41</v>
      </c>
    </row>
    <row r="29" spans="1:2" x14ac:dyDescent="0.2">
      <c r="A29" s="16" t="s">
        <v>42</v>
      </c>
    </row>
    <row r="30" spans="1:2" x14ac:dyDescent="0.2">
      <c r="A30" s="16" t="s">
        <v>39</v>
      </c>
      <c r="B30" s="2" t="s">
        <v>443</v>
      </c>
    </row>
    <row r="31" spans="1:2" x14ac:dyDescent="0.2">
      <c r="A31" s="16" t="s">
        <v>41</v>
      </c>
      <c r="B31" s="14" t="s">
        <v>444</v>
      </c>
    </row>
    <row r="32" spans="1:2" x14ac:dyDescent="0.2">
      <c r="A32" s="2" t="s">
        <v>43</v>
      </c>
      <c r="B32" s="17"/>
    </row>
    <row r="33" spans="1:2" x14ac:dyDescent="0.2">
      <c r="A33" s="2" t="s">
        <v>44</v>
      </c>
      <c r="B33" s="6"/>
    </row>
    <row r="34" spans="1:2" x14ac:dyDescent="0.2">
      <c r="A34" s="15" t="s">
        <v>45</v>
      </c>
      <c r="B34" s="6"/>
    </row>
    <row r="35" spans="1:2" x14ac:dyDescent="0.2">
      <c r="A35" s="16" t="s">
        <v>46</v>
      </c>
      <c r="B35" s="6"/>
    </row>
    <row r="36" spans="1:2" x14ac:dyDescent="0.2">
      <c r="A36" s="15" t="s">
        <v>47</v>
      </c>
      <c r="B36" s="6"/>
    </row>
    <row r="37" spans="1:2" x14ac:dyDescent="0.2">
      <c r="A37" s="15" t="s">
        <v>48</v>
      </c>
      <c r="B37" s="6"/>
    </row>
    <row r="38" spans="1:2" x14ac:dyDescent="0.2">
      <c r="A38" s="15" t="s">
        <v>39</v>
      </c>
      <c r="B38" s="6"/>
    </row>
    <row r="39" spans="1:2" x14ac:dyDescent="0.2">
      <c r="A39" s="15" t="s">
        <v>49</v>
      </c>
      <c r="B39" s="6"/>
    </row>
    <row r="40" spans="1:2" x14ac:dyDescent="0.2">
      <c r="A40" s="15" t="s">
        <v>50</v>
      </c>
      <c r="B40" s="6"/>
    </row>
    <row r="41" spans="1:2" x14ac:dyDescent="0.2">
      <c r="A41" s="15" t="s">
        <v>51</v>
      </c>
      <c r="B41" s="6"/>
    </row>
    <row r="42" spans="1:2" x14ac:dyDescent="0.2">
      <c r="A42" s="1" t="s">
        <v>52</v>
      </c>
      <c r="B42" s="3">
        <v>46009</v>
      </c>
    </row>
    <row r="43" spans="1:2" x14ac:dyDescent="0.2">
      <c r="A43" s="1" t="s">
        <v>53</v>
      </c>
      <c r="B43" s="3">
        <v>43800</v>
      </c>
    </row>
    <row r="44" spans="1:2" x14ac:dyDescent="0.2">
      <c r="A44" s="1" t="s">
        <v>54</v>
      </c>
    </row>
  </sheetData>
  <hyperlinks>
    <hyperlink ref="B31" r:id="rId1" xr:uid="{E890C5EE-2088-40AE-9DD4-09396B5B285A}"/>
  </hyperlinks>
  <pageMargins left="0" right="0" top="0.39370078740157483" bottom="0.39370078740157483" header="0" footer="0"/>
  <pageSetup paperSize="9" orientation="portrait" verticalDpi="0" r:id="rId2"/>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L8"/>
  <sheetViews>
    <sheetView zoomScale="85" zoomScaleNormal="85" workbookViewId="0">
      <pane xSplit="2" ySplit="2" topLeftCell="F3" activePane="bottomRight" state="frozen"/>
      <selection pane="topRight"/>
      <selection pane="bottomLeft"/>
      <selection pane="bottomRight" activeCell="G5" sqref="G5"/>
    </sheetView>
  </sheetViews>
  <sheetFormatPr defaultColWidth="8.75" defaultRowHeight="12.75" x14ac:dyDescent="0.2"/>
  <cols>
    <col min="1" max="1" width="7.25" style="1" customWidth="1"/>
    <col min="2" max="2" width="22.625" style="2" customWidth="1"/>
    <col min="3" max="3" width="11.5" style="2" customWidth="1"/>
    <col min="4" max="4" width="13.625" style="2" customWidth="1"/>
    <col min="5" max="6" width="12" style="2" customWidth="1"/>
    <col min="7" max="7" width="106.875" style="2" customWidth="1"/>
    <col min="8" max="10" width="23.5" style="2" customWidth="1"/>
    <col min="11" max="11" width="11.875" style="2" customWidth="1"/>
    <col min="12" max="1026" width="38.125" style="2" customWidth="1"/>
    <col min="1027" max="16384" width="8.75" style="9"/>
  </cols>
  <sheetData>
    <row r="1" spans="1:11" s="18" customFormat="1" x14ac:dyDescent="0.2">
      <c r="A1" s="7" t="str">
        <f>CONCATENATE("Statustypen bij zaaktype ",Zaaktype!B2,": ",Zaaktype!B3)</f>
        <v>Statustypen bij zaaktype 10: Aanvraag beschikking regulier behandelen</v>
      </c>
      <c r="B1" s="7"/>
      <c r="C1" s="7"/>
      <c r="D1" s="7"/>
      <c r="E1" s="7"/>
      <c r="F1" s="7"/>
      <c r="G1" s="7"/>
      <c r="H1" s="7"/>
      <c r="I1" s="7"/>
      <c r="J1" s="7"/>
      <c r="K1" s="7"/>
    </row>
    <row r="2" spans="1:11" ht="25.5" x14ac:dyDescent="0.2">
      <c r="A2" s="1" t="s">
        <v>55</v>
      </c>
      <c r="B2" s="1" t="s">
        <v>56</v>
      </c>
      <c r="C2" s="1" t="s">
        <v>57</v>
      </c>
      <c r="D2" s="1" t="s">
        <v>58</v>
      </c>
      <c r="E2" s="1" t="s">
        <v>59</v>
      </c>
      <c r="F2" s="1" t="s">
        <v>60</v>
      </c>
      <c r="G2" s="1" t="s">
        <v>61</v>
      </c>
      <c r="H2" s="1" t="s">
        <v>62</v>
      </c>
      <c r="I2" s="1" t="s">
        <v>63</v>
      </c>
      <c r="J2" s="1" t="s">
        <v>64</v>
      </c>
      <c r="K2" s="1" t="s">
        <v>65</v>
      </c>
    </row>
    <row r="3" spans="1:11" ht="25.5" x14ac:dyDescent="0.2">
      <c r="A3" s="6" t="s">
        <v>66</v>
      </c>
      <c r="B3" s="2" t="s">
        <v>67</v>
      </c>
      <c r="C3" s="2">
        <v>0</v>
      </c>
      <c r="D3" s="2" t="s">
        <v>68</v>
      </c>
      <c r="E3" s="2" t="s">
        <v>69</v>
      </c>
      <c r="G3" s="2" t="s">
        <v>445</v>
      </c>
      <c r="H3" s="2" t="s">
        <v>70</v>
      </c>
      <c r="K3" s="3">
        <v>45849</v>
      </c>
    </row>
    <row r="4" spans="1:11" ht="76.5" x14ac:dyDescent="0.2">
      <c r="A4" s="6" t="s">
        <v>71</v>
      </c>
      <c r="B4" s="2" t="s">
        <v>72</v>
      </c>
      <c r="C4" s="2">
        <v>2</v>
      </c>
      <c r="D4" s="2" t="s">
        <v>68</v>
      </c>
      <c r="E4" s="2" t="s">
        <v>28</v>
      </c>
      <c r="G4" s="2" t="s">
        <v>446</v>
      </c>
      <c r="H4" s="19"/>
      <c r="K4" s="3">
        <v>45849</v>
      </c>
    </row>
    <row r="5" spans="1:11" ht="191.25" x14ac:dyDescent="0.2">
      <c r="A5" s="6" t="s">
        <v>73</v>
      </c>
      <c r="B5" s="2" t="s">
        <v>74</v>
      </c>
      <c r="C5" s="2">
        <v>38</v>
      </c>
      <c r="D5" s="2" t="s">
        <v>68</v>
      </c>
      <c r="E5" s="2" t="s">
        <v>28</v>
      </c>
      <c r="G5" s="2" t="s">
        <v>447</v>
      </c>
      <c r="K5" s="3">
        <v>45849</v>
      </c>
    </row>
    <row r="6" spans="1:11" ht="25.5" x14ac:dyDescent="0.2">
      <c r="A6" s="6" t="s">
        <v>75</v>
      </c>
      <c r="B6" s="2" t="s">
        <v>76</v>
      </c>
      <c r="C6" s="2" t="s">
        <v>450</v>
      </c>
      <c r="D6" s="2" t="s">
        <v>68</v>
      </c>
      <c r="E6" s="2" t="s">
        <v>69</v>
      </c>
      <c r="G6" s="2" t="s">
        <v>448</v>
      </c>
      <c r="K6" s="3">
        <v>45849</v>
      </c>
    </row>
    <row r="7" spans="1:11" ht="25.5" x14ac:dyDescent="0.2">
      <c r="A7" s="2">
        <v>5</v>
      </c>
      <c r="B7" s="2" t="s">
        <v>77</v>
      </c>
      <c r="C7" s="2">
        <v>4</v>
      </c>
      <c r="D7" s="2" t="s">
        <v>68</v>
      </c>
      <c r="E7" s="2" t="s">
        <v>69</v>
      </c>
      <c r="G7" s="2" t="s">
        <v>78</v>
      </c>
      <c r="K7" s="3">
        <v>45849</v>
      </c>
    </row>
    <row r="8" spans="1:11" ht="25.5" x14ac:dyDescent="0.2">
      <c r="A8" s="2">
        <v>6</v>
      </c>
      <c r="B8" s="2" t="s">
        <v>79</v>
      </c>
      <c r="C8" s="2">
        <v>2</v>
      </c>
      <c r="D8" s="2" t="s">
        <v>68</v>
      </c>
      <c r="E8" s="2" t="s">
        <v>28</v>
      </c>
      <c r="G8" s="2" t="s">
        <v>449</v>
      </c>
      <c r="K8" s="3">
        <v>45849</v>
      </c>
    </row>
  </sheetData>
  <pageMargins left="0" right="0" top="0.39370078740157483" bottom="0.39370078740157483" header="0" footer="0"/>
  <pageSetup paperSize="9" orientation="portrait" horizontalDpi="4294967293" verticalDpi="0" r:id="rId1"/>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EC84B-4B1B-48E9-92EF-70CC9E1EA93C}">
  <dimension ref="A1:F30"/>
  <sheetViews>
    <sheetView zoomScaleNormal="100" workbookViewId="0">
      <pane xSplit="3" ySplit="2" topLeftCell="D3" activePane="bottomRight" state="frozen"/>
      <selection pane="topRight"/>
      <selection pane="bottomLeft"/>
      <selection pane="bottomRight" activeCell="H6" sqref="H6"/>
    </sheetView>
  </sheetViews>
  <sheetFormatPr defaultColWidth="8.75" defaultRowHeight="12.75" x14ac:dyDescent="0.2"/>
  <cols>
    <col min="1" max="1" width="4.25" style="5" customWidth="1"/>
    <col min="2" max="2" width="22.625" style="5" customWidth="1"/>
    <col min="3" max="3" width="23.25" style="5" customWidth="1"/>
    <col min="4" max="4" width="44" style="5" customWidth="1"/>
    <col min="5" max="5" width="8.75" style="5"/>
    <col min="6" max="6" width="61.5" style="5" customWidth="1"/>
    <col min="7" max="16384" width="8.75" style="5"/>
  </cols>
  <sheetData>
    <row r="1" spans="1:6" s="13" customFormat="1" x14ac:dyDescent="0.2">
      <c r="A1" s="11" t="str">
        <f>CONCATENATE("Checklistst bij zaaktype ",Zaaktype!B2,": ",Zaaktype!B3)</f>
        <v>Checklistst bij zaaktype 10: Aanvraag beschikking regulier behandelen</v>
      </c>
    </row>
    <row r="2" spans="1:6" s="13" customFormat="1" x14ac:dyDescent="0.2">
      <c r="A2" s="20" t="s">
        <v>80</v>
      </c>
      <c r="B2" s="20"/>
      <c r="C2" s="20" t="s">
        <v>81</v>
      </c>
      <c r="D2" s="20" t="s">
        <v>82</v>
      </c>
      <c r="E2" s="20" t="s">
        <v>83</v>
      </c>
      <c r="F2" s="20" t="s">
        <v>61</v>
      </c>
    </row>
    <row r="3" spans="1:6" ht="63.75" x14ac:dyDescent="0.2">
      <c r="A3" s="4" t="s">
        <v>66</v>
      </c>
      <c r="B3" s="4" t="s">
        <v>67</v>
      </c>
      <c r="C3" s="5" t="s">
        <v>84</v>
      </c>
      <c r="D3" s="5" t="s">
        <v>451</v>
      </c>
      <c r="E3" s="5" t="s">
        <v>69</v>
      </c>
      <c r="F3" s="5" t="s">
        <v>452</v>
      </c>
    </row>
    <row r="4" spans="1:6" ht="51" x14ac:dyDescent="0.2">
      <c r="A4" s="21" t="s">
        <v>66</v>
      </c>
      <c r="B4" s="21" t="s">
        <v>67</v>
      </c>
      <c r="C4" s="21" t="s">
        <v>453</v>
      </c>
      <c r="D4" s="21" t="s">
        <v>457</v>
      </c>
      <c r="E4" s="21" t="s">
        <v>28</v>
      </c>
      <c r="F4" s="21" t="s">
        <v>454</v>
      </c>
    </row>
    <row r="5" spans="1:6" ht="102" x14ac:dyDescent="0.2">
      <c r="A5" s="4" t="s">
        <v>71</v>
      </c>
      <c r="B5" s="4" t="s">
        <v>72</v>
      </c>
      <c r="C5" s="5" t="s">
        <v>85</v>
      </c>
      <c r="D5" s="5" t="s">
        <v>458</v>
      </c>
      <c r="E5" s="5" t="s">
        <v>28</v>
      </c>
      <c r="F5" s="5" t="s">
        <v>459</v>
      </c>
    </row>
    <row r="6" spans="1:6" ht="102" x14ac:dyDescent="0.2">
      <c r="A6" s="5" t="s">
        <v>71</v>
      </c>
      <c r="B6" s="5" t="s">
        <v>72</v>
      </c>
      <c r="C6" s="5" t="s">
        <v>86</v>
      </c>
      <c r="D6" s="5" t="s">
        <v>455</v>
      </c>
      <c r="E6" s="5" t="s">
        <v>28</v>
      </c>
      <c r="F6" s="5" t="s">
        <v>456</v>
      </c>
    </row>
    <row r="7" spans="1:6" ht="36.75" customHeight="1" x14ac:dyDescent="0.2">
      <c r="A7" s="5" t="s">
        <v>71</v>
      </c>
      <c r="B7" s="5" t="s">
        <v>72</v>
      </c>
      <c r="C7" s="5" t="s">
        <v>87</v>
      </c>
      <c r="D7" s="5" t="s">
        <v>88</v>
      </c>
      <c r="E7" s="5" t="s">
        <v>69</v>
      </c>
      <c r="F7" s="5" t="s">
        <v>89</v>
      </c>
    </row>
    <row r="8" spans="1:6" ht="51" x14ac:dyDescent="0.2">
      <c r="A8" s="5" t="s">
        <v>71</v>
      </c>
      <c r="B8" s="5" t="s">
        <v>72</v>
      </c>
      <c r="C8" s="5" t="s">
        <v>90</v>
      </c>
      <c r="D8" s="5" t="s">
        <v>91</v>
      </c>
      <c r="E8" s="5" t="s">
        <v>69</v>
      </c>
      <c r="F8" s="5" t="s">
        <v>92</v>
      </c>
    </row>
    <row r="9" spans="1:6" ht="142.5" customHeight="1" x14ac:dyDescent="0.2">
      <c r="A9" s="5" t="s">
        <v>71</v>
      </c>
      <c r="B9" s="5" t="s">
        <v>72</v>
      </c>
      <c r="C9" s="5" t="s">
        <v>93</v>
      </c>
      <c r="D9" s="5" t="s">
        <v>94</v>
      </c>
      <c r="E9" s="5" t="s">
        <v>28</v>
      </c>
      <c r="F9" s="5" t="s">
        <v>460</v>
      </c>
    </row>
    <row r="10" spans="1:6" ht="57" customHeight="1" x14ac:dyDescent="0.2">
      <c r="A10" s="5" t="s">
        <v>71</v>
      </c>
      <c r="B10" s="5" t="s">
        <v>72</v>
      </c>
      <c r="C10" s="5" t="s">
        <v>95</v>
      </c>
      <c r="D10" s="5" t="s">
        <v>96</v>
      </c>
      <c r="E10" s="5" t="s">
        <v>28</v>
      </c>
      <c r="F10" s="5" t="s">
        <v>97</v>
      </c>
    </row>
    <row r="11" spans="1:6" ht="51" x14ac:dyDescent="0.2">
      <c r="A11" s="22" t="s">
        <v>73</v>
      </c>
      <c r="B11" s="22" t="s">
        <v>74</v>
      </c>
      <c r="C11" s="23" t="s">
        <v>98</v>
      </c>
      <c r="D11" s="23" t="s">
        <v>99</v>
      </c>
      <c r="E11" s="23" t="s">
        <v>69</v>
      </c>
      <c r="F11" s="23" t="s">
        <v>100</v>
      </c>
    </row>
    <row r="12" spans="1:6" ht="38.25" x14ac:dyDescent="0.2">
      <c r="A12" s="5" t="s">
        <v>73</v>
      </c>
      <c r="B12" s="5" t="s">
        <v>74</v>
      </c>
      <c r="C12" s="5" t="s">
        <v>101</v>
      </c>
      <c r="D12" s="5" t="s">
        <v>102</v>
      </c>
      <c r="E12" s="5" t="s">
        <v>28</v>
      </c>
      <c r="F12" s="5" t="s">
        <v>103</v>
      </c>
    </row>
    <row r="13" spans="1:6" ht="63.75" x14ac:dyDescent="0.2">
      <c r="A13" s="5" t="s">
        <v>73</v>
      </c>
      <c r="B13" s="5" t="s">
        <v>74</v>
      </c>
      <c r="C13" s="5" t="s">
        <v>104</v>
      </c>
      <c r="D13" s="5" t="s">
        <v>105</v>
      </c>
      <c r="E13" s="5" t="s">
        <v>28</v>
      </c>
      <c r="F13" s="5" t="s">
        <v>106</v>
      </c>
    </row>
    <row r="14" spans="1:6" ht="76.5" x14ac:dyDescent="0.2">
      <c r="A14" s="5" t="s">
        <v>73</v>
      </c>
      <c r="B14" s="5" t="s">
        <v>74</v>
      </c>
      <c r="C14" s="5" t="s">
        <v>107</v>
      </c>
      <c r="D14" s="5" t="s">
        <v>108</v>
      </c>
      <c r="E14" s="5" t="s">
        <v>69</v>
      </c>
      <c r="F14" s="5" t="s">
        <v>109</v>
      </c>
    </row>
    <row r="15" spans="1:6" ht="25.5" x14ac:dyDescent="0.2">
      <c r="A15" s="5" t="s">
        <v>73</v>
      </c>
      <c r="B15" s="5" t="s">
        <v>74</v>
      </c>
      <c r="C15" s="5" t="s">
        <v>110</v>
      </c>
      <c r="D15" s="5" t="s">
        <v>111</v>
      </c>
      <c r="E15" s="5" t="s">
        <v>69</v>
      </c>
      <c r="F15" s="5" t="s">
        <v>112</v>
      </c>
    </row>
    <row r="16" spans="1:6" ht="127.5" x14ac:dyDescent="0.2">
      <c r="A16" s="5" t="s">
        <v>73</v>
      </c>
      <c r="B16" s="5" t="s">
        <v>74</v>
      </c>
      <c r="C16" s="5" t="s">
        <v>113</v>
      </c>
      <c r="D16" s="5" t="s">
        <v>114</v>
      </c>
      <c r="E16" s="5" t="s">
        <v>28</v>
      </c>
      <c r="F16" s="5" t="s">
        <v>115</v>
      </c>
    </row>
    <row r="17" spans="1:6" ht="63.75" x14ac:dyDescent="0.2">
      <c r="A17" s="5" t="s">
        <v>73</v>
      </c>
      <c r="B17" s="5" t="s">
        <v>74</v>
      </c>
      <c r="C17" s="5" t="s">
        <v>116</v>
      </c>
      <c r="D17" s="5" t="s">
        <v>117</v>
      </c>
      <c r="E17" s="5" t="s">
        <v>28</v>
      </c>
      <c r="F17" s="5" t="s">
        <v>118</v>
      </c>
    </row>
    <row r="18" spans="1:6" ht="76.5" x14ac:dyDescent="0.2">
      <c r="A18" s="5" t="s">
        <v>73</v>
      </c>
      <c r="B18" s="5" t="s">
        <v>74</v>
      </c>
      <c r="C18" s="5" t="s">
        <v>119</v>
      </c>
      <c r="D18" s="5" t="s">
        <v>120</v>
      </c>
      <c r="E18" s="5" t="s">
        <v>28</v>
      </c>
      <c r="F18" s="5" t="s">
        <v>121</v>
      </c>
    </row>
    <row r="19" spans="1:6" ht="38.25" x14ac:dyDescent="0.2">
      <c r="A19" s="5" t="s">
        <v>73</v>
      </c>
      <c r="B19" s="5" t="s">
        <v>74</v>
      </c>
      <c r="C19" s="5" t="s">
        <v>122</v>
      </c>
      <c r="D19" s="5" t="s">
        <v>123</v>
      </c>
      <c r="E19" s="5" t="s">
        <v>69</v>
      </c>
      <c r="F19" s="5" t="s">
        <v>124</v>
      </c>
    </row>
    <row r="20" spans="1:6" ht="25.5" x14ac:dyDescent="0.2">
      <c r="A20" s="5" t="s">
        <v>73</v>
      </c>
      <c r="B20" s="5" t="s">
        <v>74</v>
      </c>
      <c r="C20" s="5" t="s">
        <v>125</v>
      </c>
      <c r="D20" s="5" t="s">
        <v>126</v>
      </c>
      <c r="E20" s="5" t="s">
        <v>69</v>
      </c>
      <c r="F20" s="5" t="s">
        <v>127</v>
      </c>
    </row>
    <row r="21" spans="1:6" ht="25.5" x14ac:dyDescent="0.2">
      <c r="A21" s="5" t="s">
        <v>73</v>
      </c>
      <c r="B21" s="5" t="s">
        <v>74</v>
      </c>
      <c r="C21" s="5" t="s">
        <v>128</v>
      </c>
      <c r="D21" s="5" t="s">
        <v>129</v>
      </c>
      <c r="E21" s="5" t="s">
        <v>69</v>
      </c>
      <c r="F21" s="5" t="s">
        <v>130</v>
      </c>
    </row>
    <row r="22" spans="1:6" ht="25.5" x14ac:dyDescent="0.2">
      <c r="A22" s="21" t="s">
        <v>73</v>
      </c>
      <c r="B22" s="21" t="s">
        <v>74</v>
      </c>
      <c r="C22" s="21" t="s">
        <v>131</v>
      </c>
      <c r="D22" s="21" t="s">
        <v>132</v>
      </c>
      <c r="E22" s="21" t="s">
        <v>69</v>
      </c>
      <c r="F22" s="21" t="s">
        <v>130</v>
      </c>
    </row>
    <row r="23" spans="1:6" ht="25.5" x14ac:dyDescent="0.2">
      <c r="A23" s="24" t="s">
        <v>75</v>
      </c>
      <c r="B23" s="24" t="s">
        <v>76</v>
      </c>
      <c r="C23" s="25" t="s">
        <v>134</v>
      </c>
      <c r="D23" s="25" t="s">
        <v>133</v>
      </c>
      <c r="E23" s="25" t="s">
        <v>28</v>
      </c>
      <c r="F23" s="25" t="s">
        <v>135</v>
      </c>
    </row>
    <row r="24" spans="1:6" ht="25.5" x14ac:dyDescent="0.2">
      <c r="A24" s="1">
        <v>5</v>
      </c>
      <c r="B24" s="4" t="s">
        <v>77</v>
      </c>
      <c r="C24" s="5" t="s">
        <v>136</v>
      </c>
      <c r="D24" s="5" t="s">
        <v>137</v>
      </c>
      <c r="F24" s="5" t="s">
        <v>138</v>
      </c>
    </row>
    <row r="25" spans="1:6" ht="25.5" x14ac:dyDescent="0.2">
      <c r="A25" s="2">
        <v>5</v>
      </c>
      <c r="B25" s="5" t="s">
        <v>77</v>
      </c>
      <c r="C25" s="5" t="s">
        <v>139</v>
      </c>
      <c r="D25" s="5" t="s">
        <v>140</v>
      </c>
      <c r="E25" s="5" t="s">
        <v>28</v>
      </c>
      <c r="F25" s="5" t="s">
        <v>141</v>
      </c>
    </row>
    <row r="26" spans="1:6" ht="38.25" x14ac:dyDescent="0.2">
      <c r="A26" s="2">
        <v>5</v>
      </c>
      <c r="B26" s="5" t="s">
        <v>77</v>
      </c>
      <c r="C26" s="5" t="s">
        <v>142</v>
      </c>
      <c r="D26" s="5" t="s">
        <v>143</v>
      </c>
      <c r="E26" s="5" t="s">
        <v>69</v>
      </c>
      <c r="F26" s="5" t="s">
        <v>144</v>
      </c>
    </row>
    <row r="27" spans="1:6" ht="25.5" x14ac:dyDescent="0.2">
      <c r="A27" s="26">
        <v>5</v>
      </c>
      <c r="B27" s="21" t="s">
        <v>77</v>
      </c>
      <c r="C27" s="21" t="s">
        <v>145</v>
      </c>
      <c r="D27" s="21" t="s">
        <v>146</v>
      </c>
      <c r="E27" s="21" t="s">
        <v>28</v>
      </c>
      <c r="F27" s="21" t="s">
        <v>147</v>
      </c>
    </row>
    <row r="28" spans="1:6" ht="127.5" x14ac:dyDescent="0.2">
      <c r="A28" s="4">
        <v>6</v>
      </c>
      <c r="B28" s="4" t="s">
        <v>79</v>
      </c>
      <c r="C28" s="5" t="s">
        <v>150</v>
      </c>
      <c r="D28" s="5" t="s">
        <v>148</v>
      </c>
      <c r="E28" s="5" t="s">
        <v>28</v>
      </c>
      <c r="F28" s="5" t="s">
        <v>149</v>
      </c>
    </row>
    <row r="29" spans="1:6" ht="63.75" x14ac:dyDescent="0.2">
      <c r="A29" s="5">
        <v>6</v>
      </c>
      <c r="B29" s="5" t="s">
        <v>79</v>
      </c>
      <c r="C29" s="5" t="s">
        <v>151</v>
      </c>
      <c r="D29" s="5" t="s">
        <v>152</v>
      </c>
      <c r="E29" s="5" t="s">
        <v>28</v>
      </c>
      <c r="F29" s="5" t="s">
        <v>153</v>
      </c>
    </row>
    <row r="30" spans="1:6" ht="38.25" x14ac:dyDescent="0.2">
      <c r="A30" s="5">
        <v>6</v>
      </c>
      <c r="B30" s="5" t="s">
        <v>79</v>
      </c>
      <c r="C30" s="5" t="s">
        <v>154</v>
      </c>
      <c r="D30" s="5" t="s">
        <v>155</v>
      </c>
      <c r="E30" s="5" t="s">
        <v>28</v>
      </c>
      <c r="F30" s="5" t="s">
        <v>156</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10"/>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23.875" style="2" customWidth="1"/>
    <col min="2" max="2" width="20.125" style="2" customWidth="1"/>
    <col min="3" max="3" width="19.125" style="2" customWidth="1"/>
    <col min="4" max="4" width="23.75" style="2" customWidth="1"/>
    <col min="5" max="5" width="11.5" style="2" customWidth="1"/>
    <col min="6" max="1024" width="36" style="2" customWidth="1"/>
    <col min="1025" max="16384" width="8.75" style="5"/>
  </cols>
  <sheetData>
    <row r="1" spans="1:5" s="11" customFormat="1" x14ac:dyDescent="0.2">
      <c r="A1" s="7" t="str">
        <f>CONCATENATE("Roltypen bij zaaktype ",Zaaktype!B2,": ",Zaaktype!B3)</f>
        <v>Roltypen bij zaaktype 10: Aanvraag beschikking regulier behandelen</v>
      </c>
      <c r="B1" s="7"/>
      <c r="C1" s="7"/>
      <c r="D1" s="7"/>
      <c r="E1" s="7"/>
    </row>
    <row r="2" spans="1:5" ht="25.5" x14ac:dyDescent="0.2">
      <c r="A2" s="1" t="s">
        <v>56</v>
      </c>
      <c r="B2" s="1" t="s">
        <v>157</v>
      </c>
      <c r="C2" s="1" t="s">
        <v>158</v>
      </c>
      <c r="D2" s="1" t="s">
        <v>159</v>
      </c>
      <c r="E2" s="1" t="s">
        <v>65</v>
      </c>
    </row>
    <row r="3" spans="1:5" ht="38.25" x14ac:dyDescent="0.2">
      <c r="A3" s="2" t="s">
        <v>160</v>
      </c>
      <c r="B3" s="2" t="s">
        <v>161</v>
      </c>
      <c r="C3" s="2" t="s">
        <v>162</v>
      </c>
      <c r="E3" s="3">
        <v>43800</v>
      </c>
    </row>
    <row r="4" spans="1:5" ht="25.5" x14ac:dyDescent="0.2">
      <c r="A4" s="2" t="s">
        <v>163</v>
      </c>
      <c r="B4" s="2" t="s">
        <v>164</v>
      </c>
      <c r="D4" s="2" t="s">
        <v>165</v>
      </c>
      <c r="E4" s="3">
        <v>43800</v>
      </c>
    </row>
    <row r="5" spans="1:5" x14ac:dyDescent="0.2">
      <c r="A5" s="2" t="s">
        <v>166</v>
      </c>
      <c r="B5" s="2" t="s">
        <v>166</v>
      </c>
      <c r="D5" s="5"/>
      <c r="E5" s="3">
        <v>43800</v>
      </c>
    </row>
    <row r="6" spans="1:5" x14ac:dyDescent="0.2">
      <c r="A6" s="2" t="s">
        <v>167</v>
      </c>
      <c r="B6" s="2" t="s">
        <v>168</v>
      </c>
      <c r="C6" s="2" t="s">
        <v>169</v>
      </c>
      <c r="E6" s="3">
        <v>43800</v>
      </c>
    </row>
    <row r="7" spans="1:5" ht="25.5" x14ac:dyDescent="0.2">
      <c r="A7" s="2" t="s">
        <v>170</v>
      </c>
      <c r="B7" s="2" t="s">
        <v>168</v>
      </c>
      <c r="C7" s="2" t="s">
        <v>171</v>
      </c>
      <c r="E7" s="3">
        <v>43800</v>
      </c>
    </row>
    <row r="8" spans="1:5" ht="38.25" x14ac:dyDescent="0.2">
      <c r="A8" s="2" t="s">
        <v>172</v>
      </c>
      <c r="B8" s="2" t="s">
        <v>161</v>
      </c>
      <c r="C8" s="2" t="s">
        <v>162</v>
      </c>
      <c r="E8" s="3">
        <v>43800</v>
      </c>
    </row>
    <row r="9" spans="1:5" ht="25.5" x14ac:dyDescent="0.2">
      <c r="A9" s="2" t="s">
        <v>173</v>
      </c>
      <c r="B9" s="2" t="s">
        <v>164</v>
      </c>
      <c r="D9" s="2" t="s">
        <v>174</v>
      </c>
      <c r="E9" s="3">
        <v>43800</v>
      </c>
    </row>
    <row r="10" spans="1:5" x14ac:dyDescent="0.2">
      <c r="A10" s="2" t="s">
        <v>175</v>
      </c>
      <c r="B10" s="2" t="s">
        <v>176</v>
      </c>
      <c r="D10" s="2" t="s">
        <v>177</v>
      </c>
      <c r="E10" s="3">
        <v>43800</v>
      </c>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I45"/>
  <sheetViews>
    <sheetView workbookViewId="0">
      <pane xSplit="1" ySplit="2" topLeftCell="B16" activePane="bottomRight" state="frozen"/>
      <selection pane="topRight"/>
      <selection pane="bottomLeft"/>
      <selection pane="bottomRight"/>
    </sheetView>
  </sheetViews>
  <sheetFormatPr defaultColWidth="8.75" defaultRowHeight="12.75" x14ac:dyDescent="0.2"/>
  <cols>
    <col min="1" max="1" width="48.875" style="2" customWidth="1"/>
    <col min="2" max="2" width="18" style="2" customWidth="1"/>
    <col min="3" max="3" width="49" style="2" customWidth="1"/>
    <col min="4" max="4" width="11.75" style="2" customWidth="1"/>
    <col min="5" max="1023" width="52.125" style="2" customWidth="1"/>
    <col min="1024" max="16384" width="8.75" style="5"/>
  </cols>
  <sheetData>
    <row r="1" spans="1:4" s="11" customFormat="1" x14ac:dyDescent="0.2">
      <c r="A1" s="7" t="str">
        <f>CONCATENATE("Zaakobjecttypen bij zaaktype ",Zaaktype!B2,": ",Zaaktype!B3)</f>
        <v>Zaakobjecttypen bij zaaktype 10: Aanvraag beschikking regulier behandelen</v>
      </c>
      <c r="B1" s="7"/>
      <c r="C1" s="7"/>
      <c r="D1" s="7"/>
    </row>
    <row r="2" spans="1:4" ht="25.5" x14ac:dyDescent="0.2">
      <c r="A2" s="1" t="s">
        <v>178</v>
      </c>
      <c r="B2" s="1" t="s">
        <v>179</v>
      </c>
      <c r="C2" s="1" t="s">
        <v>180</v>
      </c>
      <c r="D2" s="1" t="s">
        <v>65</v>
      </c>
    </row>
    <row r="3" spans="1:4" ht="25.5" x14ac:dyDescent="0.2">
      <c r="A3" s="2" t="s">
        <v>181</v>
      </c>
      <c r="B3" s="2" t="s">
        <v>182</v>
      </c>
      <c r="C3" s="2" t="s">
        <v>183</v>
      </c>
      <c r="D3" s="3">
        <v>43800</v>
      </c>
    </row>
    <row r="4" spans="1:4" x14ac:dyDescent="0.2">
      <c r="A4" s="2" t="s">
        <v>184</v>
      </c>
      <c r="B4" s="2" t="s">
        <v>182</v>
      </c>
      <c r="C4" s="2" t="s">
        <v>185</v>
      </c>
      <c r="D4" s="3">
        <v>43800</v>
      </c>
    </row>
    <row r="5" spans="1:4" x14ac:dyDescent="0.2">
      <c r="A5" s="2" t="s">
        <v>186</v>
      </c>
      <c r="B5" s="2" t="s">
        <v>182</v>
      </c>
      <c r="C5" s="2" t="s">
        <v>187</v>
      </c>
      <c r="D5" s="3">
        <v>43800</v>
      </c>
    </row>
    <row r="6" spans="1:4" x14ac:dyDescent="0.2">
      <c r="A6" s="2" t="s">
        <v>188</v>
      </c>
      <c r="B6" s="2" t="s">
        <v>182</v>
      </c>
      <c r="C6" s="2" t="s">
        <v>189</v>
      </c>
      <c r="D6" s="3">
        <v>43800</v>
      </c>
    </row>
    <row r="7" spans="1:4" x14ac:dyDescent="0.2">
      <c r="A7" s="2" t="s">
        <v>190</v>
      </c>
      <c r="B7" s="2" t="s">
        <v>182</v>
      </c>
      <c r="C7" s="2" t="s">
        <v>191</v>
      </c>
      <c r="D7" s="3">
        <v>43800</v>
      </c>
    </row>
    <row r="8" spans="1:4" x14ac:dyDescent="0.2">
      <c r="A8" s="2" t="s">
        <v>192</v>
      </c>
      <c r="B8" s="2" t="s">
        <v>182</v>
      </c>
      <c r="C8" s="2" t="s">
        <v>193</v>
      </c>
      <c r="D8" s="3">
        <v>43800</v>
      </c>
    </row>
    <row r="9" spans="1:4" x14ac:dyDescent="0.2">
      <c r="A9" s="2" t="s">
        <v>194</v>
      </c>
      <c r="B9" s="2" t="s">
        <v>182</v>
      </c>
      <c r="C9" s="2" t="s">
        <v>195</v>
      </c>
      <c r="D9" s="3">
        <v>43800</v>
      </c>
    </row>
    <row r="10" spans="1:4" x14ac:dyDescent="0.2">
      <c r="A10" s="2" t="s">
        <v>196</v>
      </c>
      <c r="B10" s="2" t="s">
        <v>182</v>
      </c>
      <c r="C10" s="2" t="s">
        <v>197</v>
      </c>
      <c r="D10" s="3">
        <v>43800</v>
      </c>
    </row>
    <row r="11" spans="1:4" x14ac:dyDescent="0.2">
      <c r="A11" s="2" t="s">
        <v>198</v>
      </c>
      <c r="B11" s="2" t="s">
        <v>182</v>
      </c>
      <c r="C11" s="2" t="s">
        <v>199</v>
      </c>
      <c r="D11" s="3">
        <v>43800</v>
      </c>
    </row>
    <row r="12" spans="1:4" x14ac:dyDescent="0.2">
      <c r="A12" s="2" t="s">
        <v>200</v>
      </c>
      <c r="B12" s="2" t="s">
        <v>182</v>
      </c>
      <c r="C12" s="2" t="s">
        <v>201</v>
      </c>
      <c r="D12" s="3">
        <v>43800</v>
      </c>
    </row>
    <row r="13" spans="1:4" ht="25.5" x14ac:dyDescent="0.2">
      <c r="A13" s="2" t="s">
        <v>202</v>
      </c>
      <c r="B13" s="2" t="s">
        <v>182</v>
      </c>
      <c r="C13" s="2" t="s">
        <v>203</v>
      </c>
      <c r="D13" s="3">
        <v>43800</v>
      </c>
    </row>
    <row r="14" spans="1:4" x14ac:dyDescent="0.2">
      <c r="A14" s="2" t="s">
        <v>204</v>
      </c>
      <c r="B14" s="2" t="s">
        <v>182</v>
      </c>
      <c r="C14" s="2" t="s">
        <v>205</v>
      </c>
      <c r="D14" s="3">
        <v>43800</v>
      </c>
    </row>
    <row r="15" spans="1:4" x14ac:dyDescent="0.2">
      <c r="A15" s="2" t="s">
        <v>206</v>
      </c>
      <c r="B15" s="2" t="s">
        <v>182</v>
      </c>
      <c r="C15" s="2" t="s">
        <v>207</v>
      </c>
      <c r="D15" s="3">
        <v>43800</v>
      </c>
    </row>
    <row r="16" spans="1:4" x14ac:dyDescent="0.2">
      <c r="A16" s="2" t="s">
        <v>208</v>
      </c>
      <c r="B16" s="2" t="s">
        <v>182</v>
      </c>
      <c r="C16" s="2" t="s">
        <v>209</v>
      </c>
      <c r="D16" s="3">
        <v>43800</v>
      </c>
    </row>
    <row r="17" spans="1:4" x14ac:dyDescent="0.2">
      <c r="A17" s="2" t="s">
        <v>210</v>
      </c>
      <c r="B17" s="2" t="s">
        <v>182</v>
      </c>
      <c r="C17" s="2" t="s">
        <v>211</v>
      </c>
      <c r="D17" s="3">
        <v>43800</v>
      </c>
    </row>
    <row r="18" spans="1:4" x14ac:dyDescent="0.2">
      <c r="A18" s="2" t="s">
        <v>212</v>
      </c>
      <c r="B18" s="2" t="s">
        <v>182</v>
      </c>
      <c r="C18" s="2" t="s">
        <v>213</v>
      </c>
      <c r="D18" s="3">
        <v>43800</v>
      </c>
    </row>
    <row r="19" spans="1:4" ht="25.5" x14ac:dyDescent="0.2">
      <c r="A19" s="2" t="s">
        <v>214</v>
      </c>
      <c r="B19" s="2" t="s">
        <v>182</v>
      </c>
      <c r="C19" s="2" t="s">
        <v>215</v>
      </c>
      <c r="D19" s="3">
        <v>43800</v>
      </c>
    </row>
    <row r="20" spans="1:4" x14ac:dyDescent="0.2">
      <c r="A20" s="2" t="s">
        <v>216</v>
      </c>
      <c r="B20" s="2" t="s">
        <v>182</v>
      </c>
      <c r="C20" s="2" t="s">
        <v>217</v>
      </c>
      <c r="D20" s="3">
        <v>43800</v>
      </c>
    </row>
    <row r="21" spans="1:4" x14ac:dyDescent="0.2">
      <c r="A21" s="2" t="s">
        <v>218</v>
      </c>
      <c r="B21" s="2" t="s">
        <v>182</v>
      </c>
      <c r="C21" s="2" t="s">
        <v>219</v>
      </c>
      <c r="D21" s="3">
        <v>43800</v>
      </c>
    </row>
    <row r="22" spans="1:4" x14ac:dyDescent="0.2">
      <c r="A22" s="2" t="s">
        <v>220</v>
      </c>
      <c r="B22" s="2" t="s">
        <v>182</v>
      </c>
      <c r="C22" s="2" t="s">
        <v>221</v>
      </c>
      <c r="D22" s="3">
        <v>43800</v>
      </c>
    </row>
    <row r="23" spans="1:4" x14ac:dyDescent="0.2">
      <c r="A23" s="2" t="s">
        <v>222</v>
      </c>
      <c r="B23" s="2" t="s">
        <v>182</v>
      </c>
      <c r="C23" s="2" t="s">
        <v>223</v>
      </c>
      <c r="D23" s="3">
        <v>43800</v>
      </c>
    </row>
    <row r="24" spans="1:4" x14ac:dyDescent="0.2">
      <c r="A24" s="2" t="s">
        <v>224</v>
      </c>
      <c r="B24" s="2" t="s">
        <v>182</v>
      </c>
      <c r="C24" s="2" t="s">
        <v>225</v>
      </c>
      <c r="D24" s="3">
        <v>43800</v>
      </c>
    </row>
    <row r="25" spans="1:4" x14ac:dyDescent="0.2">
      <c r="A25" s="2" t="s">
        <v>226</v>
      </c>
      <c r="B25" s="2" t="s">
        <v>182</v>
      </c>
      <c r="C25" s="2" t="s">
        <v>227</v>
      </c>
      <c r="D25" s="3">
        <v>43800</v>
      </c>
    </row>
    <row r="26" spans="1:4" ht="25.5" x14ac:dyDescent="0.2">
      <c r="A26" s="2" t="s">
        <v>228</v>
      </c>
      <c r="B26" s="2" t="s">
        <v>182</v>
      </c>
      <c r="C26" s="2" t="s">
        <v>229</v>
      </c>
      <c r="D26" s="3">
        <v>43800</v>
      </c>
    </row>
    <row r="27" spans="1:4" x14ac:dyDescent="0.2">
      <c r="A27" s="2" t="s">
        <v>230</v>
      </c>
      <c r="B27" s="2" t="s">
        <v>182</v>
      </c>
      <c r="C27" s="2" t="s">
        <v>231</v>
      </c>
      <c r="D27" s="3">
        <v>43800</v>
      </c>
    </row>
    <row r="28" spans="1:4" x14ac:dyDescent="0.2">
      <c r="A28" s="2" t="s">
        <v>232</v>
      </c>
      <c r="B28" s="2" t="s">
        <v>182</v>
      </c>
      <c r="C28" s="2" t="s">
        <v>233</v>
      </c>
      <c r="D28" s="3">
        <v>43800</v>
      </c>
    </row>
    <row r="29" spans="1:4" x14ac:dyDescent="0.2">
      <c r="A29" s="2" t="s">
        <v>234</v>
      </c>
      <c r="B29" s="2" t="s">
        <v>182</v>
      </c>
      <c r="C29" s="2" t="s">
        <v>235</v>
      </c>
      <c r="D29" s="3">
        <v>43800</v>
      </c>
    </row>
    <row r="30" spans="1:4" x14ac:dyDescent="0.2">
      <c r="A30" s="2" t="s">
        <v>236</v>
      </c>
      <c r="B30" s="2" t="s">
        <v>182</v>
      </c>
      <c r="C30" s="2" t="s">
        <v>237</v>
      </c>
      <c r="D30" s="3">
        <v>43800</v>
      </c>
    </row>
    <row r="31" spans="1:4" x14ac:dyDescent="0.2">
      <c r="A31" s="2" t="s">
        <v>238</v>
      </c>
      <c r="B31" s="2" t="s">
        <v>182</v>
      </c>
      <c r="C31" s="2" t="s">
        <v>239</v>
      </c>
      <c r="D31" s="3">
        <v>43800</v>
      </c>
    </row>
    <row r="32" spans="1:4" x14ac:dyDescent="0.2">
      <c r="A32" s="2" t="s">
        <v>240</v>
      </c>
      <c r="B32" s="2" t="s">
        <v>182</v>
      </c>
      <c r="C32" s="2" t="s">
        <v>241</v>
      </c>
      <c r="D32" s="3">
        <v>43800</v>
      </c>
    </row>
    <row r="33" spans="1:4" x14ac:dyDescent="0.2">
      <c r="A33" s="2" t="s">
        <v>242</v>
      </c>
      <c r="B33" s="2" t="s">
        <v>182</v>
      </c>
      <c r="C33" s="2" t="s">
        <v>243</v>
      </c>
      <c r="D33" s="3">
        <v>43800</v>
      </c>
    </row>
    <row r="34" spans="1:4" x14ac:dyDescent="0.2">
      <c r="A34" s="2" t="s">
        <v>244</v>
      </c>
      <c r="B34" s="2" t="s">
        <v>182</v>
      </c>
      <c r="C34" s="2" t="s">
        <v>245</v>
      </c>
      <c r="D34" s="3">
        <v>43800</v>
      </c>
    </row>
    <row r="35" spans="1:4" x14ac:dyDescent="0.2">
      <c r="A35" s="2" t="s">
        <v>246</v>
      </c>
      <c r="B35" s="2" t="s">
        <v>182</v>
      </c>
      <c r="C35" s="2" t="s">
        <v>247</v>
      </c>
      <c r="D35" s="3">
        <v>43800</v>
      </c>
    </row>
    <row r="36" spans="1:4" x14ac:dyDescent="0.2">
      <c r="A36" s="2" t="s">
        <v>248</v>
      </c>
      <c r="B36" s="2" t="s">
        <v>182</v>
      </c>
      <c r="C36" s="2" t="s">
        <v>249</v>
      </c>
      <c r="D36" s="3">
        <v>43800</v>
      </c>
    </row>
    <row r="37" spans="1:4" ht="51" x14ac:dyDescent="0.2">
      <c r="A37" s="2" t="s">
        <v>250</v>
      </c>
      <c r="B37" s="2" t="s">
        <v>251</v>
      </c>
      <c r="C37" s="2" t="s">
        <v>252</v>
      </c>
      <c r="D37" s="3">
        <v>43800</v>
      </c>
    </row>
    <row r="38" spans="1:4" x14ac:dyDescent="0.2">
      <c r="A38" s="2" t="s">
        <v>253</v>
      </c>
      <c r="B38" s="2" t="s">
        <v>182</v>
      </c>
      <c r="C38" s="2" t="s">
        <v>254</v>
      </c>
      <c r="D38" s="3">
        <v>43800</v>
      </c>
    </row>
    <row r="39" spans="1:4" x14ac:dyDescent="0.2">
      <c r="A39" s="2" t="s">
        <v>255</v>
      </c>
      <c r="B39" s="2" t="s">
        <v>182</v>
      </c>
      <c r="C39" s="2" t="s">
        <v>256</v>
      </c>
      <c r="D39" s="3">
        <v>43800</v>
      </c>
    </row>
    <row r="40" spans="1:4" x14ac:dyDescent="0.2">
      <c r="A40" s="2" t="s">
        <v>257</v>
      </c>
      <c r="B40" s="2" t="s">
        <v>182</v>
      </c>
      <c r="C40" s="2" t="s">
        <v>258</v>
      </c>
      <c r="D40" s="3">
        <v>43800</v>
      </c>
    </row>
    <row r="41" spans="1:4" x14ac:dyDescent="0.2">
      <c r="A41" s="2" t="s">
        <v>259</v>
      </c>
      <c r="B41" s="2" t="s">
        <v>182</v>
      </c>
      <c r="C41" s="2" t="s">
        <v>260</v>
      </c>
      <c r="D41" s="3">
        <v>43800</v>
      </c>
    </row>
    <row r="42" spans="1:4" x14ac:dyDescent="0.2">
      <c r="A42" s="2" t="s">
        <v>261</v>
      </c>
      <c r="B42" s="2" t="s">
        <v>182</v>
      </c>
      <c r="C42" s="2" t="s">
        <v>262</v>
      </c>
      <c r="D42" s="3">
        <v>43800</v>
      </c>
    </row>
    <row r="43" spans="1:4" x14ac:dyDescent="0.2">
      <c r="A43" s="2" t="s">
        <v>263</v>
      </c>
      <c r="B43" s="2" t="s">
        <v>182</v>
      </c>
      <c r="C43" s="2" t="s">
        <v>264</v>
      </c>
      <c r="D43" s="3">
        <v>43800</v>
      </c>
    </row>
    <row r="44" spans="1:4" x14ac:dyDescent="0.2">
      <c r="A44" s="2" t="s">
        <v>265</v>
      </c>
      <c r="B44" s="2" t="s">
        <v>182</v>
      </c>
      <c r="C44" s="2" t="s">
        <v>266</v>
      </c>
      <c r="D44" s="3">
        <v>43800</v>
      </c>
    </row>
    <row r="45" spans="1:4" x14ac:dyDescent="0.2">
      <c r="A45" s="2" t="s">
        <v>267</v>
      </c>
      <c r="B45" s="2" t="s">
        <v>182</v>
      </c>
      <c r="C45" s="2" t="s">
        <v>268</v>
      </c>
      <c r="D45" s="3">
        <v>43800</v>
      </c>
    </row>
  </sheetData>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3"/>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14.875" style="2" customWidth="1"/>
    <col min="2" max="2" width="35.875" style="2" customWidth="1"/>
    <col min="3" max="3" width="14.625" style="2" customWidth="1"/>
    <col min="4" max="4" width="8.875" style="2" customWidth="1"/>
    <col min="5" max="5" width="7.875" style="2" customWidth="1"/>
    <col min="6" max="6" width="11.25" style="2" customWidth="1"/>
    <col min="7" max="7" width="19.125" style="2" customWidth="1"/>
    <col min="8" max="8" width="43.25" style="2" customWidth="1"/>
    <col min="9" max="9" width="11.25" style="2" customWidth="1"/>
    <col min="10" max="1027" width="35.875" style="2" customWidth="1"/>
    <col min="1028" max="16384" width="8.75" style="5"/>
  </cols>
  <sheetData>
    <row r="1" spans="1:9" s="11" customFormat="1" x14ac:dyDescent="0.2">
      <c r="A1" s="7" t="str">
        <f>CONCATENATE("Eigenschappen bij zaaktype ",Zaaktype!B2,": ",Zaaktype!B3)</f>
        <v>Eigenschappen bij zaaktype 10: Aanvraag beschikking regulier behandelen</v>
      </c>
      <c r="B1" s="7"/>
      <c r="C1" s="7"/>
      <c r="D1" s="7"/>
      <c r="E1" s="7"/>
      <c r="F1" s="7"/>
      <c r="G1" s="7"/>
      <c r="H1" s="7"/>
      <c r="I1" s="7"/>
    </row>
    <row r="2" spans="1:9" ht="25.5" x14ac:dyDescent="0.2">
      <c r="A2" s="1" t="s">
        <v>269</v>
      </c>
      <c r="B2" s="1" t="s">
        <v>270</v>
      </c>
      <c r="C2" s="1" t="s">
        <v>271</v>
      </c>
      <c r="D2" s="1" t="s">
        <v>272</v>
      </c>
      <c r="E2" s="1" t="s">
        <v>273</v>
      </c>
      <c r="F2" s="1" t="s">
        <v>274</v>
      </c>
      <c r="G2" s="1" t="s">
        <v>275</v>
      </c>
      <c r="H2" s="1" t="s">
        <v>61</v>
      </c>
      <c r="I2" s="1" t="s">
        <v>65</v>
      </c>
    </row>
    <row r="3" spans="1:9" ht="153" x14ac:dyDescent="0.2">
      <c r="A3" s="2" t="s">
        <v>276</v>
      </c>
      <c r="B3" s="2" t="s">
        <v>277</v>
      </c>
      <c r="D3" s="2" t="s">
        <v>278</v>
      </c>
      <c r="H3" s="2" t="s">
        <v>279</v>
      </c>
      <c r="I3" s="3">
        <v>43800</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H30"/>
  <sheetViews>
    <sheetView workbookViewId="0">
      <pane xSplit="1" ySplit="2" topLeftCell="B3" activePane="bottomRight" state="frozen"/>
      <selection pane="topRight"/>
      <selection pane="bottomLeft"/>
      <selection pane="bottomRight" activeCell="C7" sqref="C7"/>
    </sheetView>
  </sheetViews>
  <sheetFormatPr defaultColWidth="8.75" defaultRowHeight="12.75" x14ac:dyDescent="0.2"/>
  <cols>
    <col min="1" max="1" width="18.375" style="2" customWidth="1"/>
    <col min="2" max="2" width="9.75" style="2" customWidth="1"/>
    <col min="3" max="3" width="41.125" style="2" bestFit="1" customWidth="1"/>
    <col min="4" max="1022" width="43.125" style="2" customWidth="1"/>
    <col min="1023" max="16384" width="8.75" style="5"/>
  </cols>
  <sheetData>
    <row r="1" spans="1:3" s="11" customFormat="1" x14ac:dyDescent="0.2">
      <c r="A1" s="7" t="str">
        <f>CONCATENATE("Informatieobjecttypen bij zaaktype ",Zaaktype!B2,": ",Zaaktype!B3)</f>
        <v>Informatieobjecttypen bij zaaktype 10: Aanvraag beschikking regulier behandelen</v>
      </c>
      <c r="B1" s="7"/>
      <c r="C1" s="7"/>
    </row>
    <row r="2" spans="1:3" x14ac:dyDescent="0.2">
      <c r="A2" s="1" t="s">
        <v>280</v>
      </c>
      <c r="B2" s="1" t="s">
        <v>281</v>
      </c>
      <c r="C2" s="1" t="s">
        <v>282</v>
      </c>
    </row>
    <row r="3" spans="1:3" x14ac:dyDescent="0.2">
      <c r="A3" s="2">
        <v>1</v>
      </c>
      <c r="B3" s="2" t="s">
        <v>283</v>
      </c>
      <c r="C3" s="10" t="s">
        <v>284</v>
      </c>
    </row>
    <row r="4" spans="1:3" x14ac:dyDescent="0.2">
      <c r="A4" s="2">
        <v>2</v>
      </c>
      <c r="B4" s="2" t="s">
        <v>285</v>
      </c>
      <c r="C4" s="10" t="s">
        <v>286</v>
      </c>
    </row>
    <row r="5" spans="1:3" x14ac:dyDescent="0.2">
      <c r="A5" s="2">
        <v>3</v>
      </c>
      <c r="B5" s="2" t="s">
        <v>285</v>
      </c>
      <c r="C5" s="10" t="s">
        <v>287</v>
      </c>
    </row>
    <row r="6" spans="1:3" x14ac:dyDescent="0.2">
      <c r="A6" s="2">
        <v>4</v>
      </c>
      <c r="B6" s="2" t="s">
        <v>285</v>
      </c>
      <c r="C6" s="10" t="s">
        <v>288</v>
      </c>
    </row>
    <row r="7" spans="1:3" x14ac:dyDescent="0.2">
      <c r="A7" s="2">
        <v>5</v>
      </c>
      <c r="B7" s="2" t="s">
        <v>285</v>
      </c>
      <c r="C7" s="10" t="s">
        <v>289</v>
      </c>
    </row>
    <row r="8" spans="1:3" x14ac:dyDescent="0.2">
      <c r="A8" s="2">
        <v>6</v>
      </c>
      <c r="B8" s="2" t="s">
        <v>285</v>
      </c>
      <c r="C8" s="10" t="s">
        <v>290</v>
      </c>
    </row>
    <row r="9" spans="1:3" x14ac:dyDescent="0.2">
      <c r="A9" s="2">
        <v>7</v>
      </c>
      <c r="B9" s="2" t="s">
        <v>285</v>
      </c>
      <c r="C9" s="10" t="s">
        <v>291</v>
      </c>
    </row>
    <row r="10" spans="1:3" x14ac:dyDescent="0.2">
      <c r="A10" s="2">
        <v>7</v>
      </c>
      <c r="B10" s="2" t="s">
        <v>292</v>
      </c>
      <c r="C10" s="10" t="s">
        <v>291</v>
      </c>
    </row>
    <row r="11" spans="1:3" x14ac:dyDescent="0.2">
      <c r="A11" s="2">
        <v>8</v>
      </c>
      <c r="B11" s="2" t="s">
        <v>283</v>
      </c>
      <c r="C11" s="10" t="s">
        <v>293</v>
      </c>
    </row>
    <row r="12" spans="1:3" x14ac:dyDescent="0.2">
      <c r="A12" s="2">
        <v>8</v>
      </c>
      <c r="B12" s="2" t="s">
        <v>292</v>
      </c>
      <c r="C12" s="10" t="s">
        <v>293</v>
      </c>
    </row>
    <row r="13" spans="1:3" x14ac:dyDescent="0.2">
      <c r="A13" s="2">
        <v>9</v>
      </c>
      <c r="B13" s="2" t="s">
        <v>285</v>
      </c>
      <c r="C13" s="10" t="s">
        <v>294</v>
      </c>
    </row>
    <row r="14" spans="1:3" x14ac:dyDescent="0.2">
      <c r="A14" s="2">
        <v>10</v>
      </c>
      <c r="B14" s="2" t="s">
        <v>283</v>
      </c>
      <c r="C14" s="10" t="s">
        <v>295</v>
      </c>
    </row>
    <row r="15" spans="1:3" x14ac:dyDescent="0.2">
      <c r="A15" s="2">
        <v>11</v>
      </c>
      <c r="B15" s="2" t="s">
        <v>285</v>
      </c>
      <c r="C15" s="10" t="s">
        <v>296</v>
      </c>
    </row>
    <row r="16" spans="1:3" x14ac:dyDescent="0.2">
      <c r="A16" s="2">
        <v>12</v>
      </c>
      <c r="B16" s="2" t="s">
        <v>285</v>
      </c>
      <c r="C16" s="10" t="s">
        <v>297</v>
      </c>
    </row>
    <row r="17" spans="1:3" x14ac:dyDescent="0.2">
      <c r="A17" s="2">
        <v>13</v>
      </c>
      <c r="B17" s="2" t="s">
        <v>285</v>
      </c>
      <c r="C17" s="10" t="s">
        <v>298</v>
      </c>
    </row>
    <row r="18" spans="1:3" x14ac:dyDescent="0.2">
      <c r="A18" s="2">
        <v>14</v>
      </c>
      <c r="B18" s="2" t="s">
        <v>285</v>
      </c>
      <c r="C18" s="10" t="s">
        <v>299</v>
      </c>
    </row>
    <row r="19" spans="1:3" x14ac:dyDescent="0.2">
      <c r="A19" s="2">
        <v>15</v>
      </c>
      <c r="B19" s="2" t="s">
        <v>285</v>
      </c>
      <c r="C19" s="10" t="s">
        <v>300</v>
      </c>
    </row>
    <row r="20" spans="1:3" x14ac:dyDescent="0.2">
      <c r="A20" s="2">
        <v>16</v>
      </c>
      <c r="B20" s="2" t="s">
        <v>283</v>
      </c>
      <c r="C20" s="10" t="s">
        <v>301</v>
      </c>
    </row>
    <row r="21" spans="1:3" x14ac:dyDescent="0.2">
      <c r="A21" s="2">
        <v>17</v>
      </c>
      <c r="B21" s="2" t="s">
        <v>285</v>
      </c>
      <c r="C21" s="10" t="s">
        <v>302</v>
      </c>
    </row>
    <row r="22" spans="1:3" x14ac:dyDescent="0.2">
      <c r="A22" s="2">
        <v>18</v>
      </c>
      <c r="B22" s="2" t="s">
        <v>283</v>
      </c>
      <c r="C22" s="10" t="s">
        <v>303</v>
      </c>
    </row>
    <row r="23" spans="1:3" x14ac:dyDescent="0.2">
      <c r="A23" s="2">
        <v>19</v>
      </c>
      <c r="B23" s="2" t="s">
        <v>292</v>
      </c>
      <c r="C23" s="10" t="s">
        <v>304</v>
      </c>
    </row>
    <row r="24" spans="1:3" x14ac:dyDescent="0.2">
      <c r="A24" s="2">
        <v>20</v>
      </c>
      <c r="B24" s="2" t="s">
        <v>285</v>
      </c>
      <c r="C24" s="10" t="s">
        <v>305</v>
      </c>
    </row>
    <row r="25" spans="1:3" x14ac:dyDescent="0.2">
      <c r="A25" s="2">
        <v>21</v>
      </c>
      <c r="B25" s="2" t="s">
        <v>285</v>
      </c>
      <c r="C25" s="10" t="s">
        <v>306</v>
      </c>
    </row>
    <row r="26" spans="1:3" x14ac:dyDescent="0.2">
      <c r="A26" s="2">
        <v>22</v>
      </c>
      <c r="B26" s="2" t="s">
        <v>285</v>
      </c>
      <c r="C26" s="10" t="s">
        <v>307</v>
      </c>
    </row>
    <row r="27" spans="1:3" x14ac:dyDescent="0.2">
      <c r="A27" s="2">
        <v>23</v>
      </c>
      <c r="B27" s="2" t="s">
        <v>285</v>
      </c>
      <c r="C27" s="10" t="s">
        <v>308</v>
      </c>
    </row>
    <row r="28" spans="1:3" x14ac:dyDescent="0.2">
      <c r="A28" s="2">
        <v>98</v>
      </c>
      <c r="B28" s="2" t="s">
        <v>283</v>
      </c>
      <c r="C28" s="10" t="s">
        <v>309</v>
      </c>
    </row>
    <row r="29" spans="1:3" x14ac:dyDescent="0.2">
      <c r="A29" s="2">
        <v>99</v>
      </c>
      <c r="B29" s="2" t="s">
        <v>285</v>
      </c>
      <c r="C29" s="10" t="s">
        <v>310</v>
      </c>
    </row>
    <row r="30" spans="1:3" x14ac:dyDescent="0.2">
      <c r="A30" s="2">
        <v>24</v>
      </c>
      <c r="B30" s="2" t="s">
        <v>292</v>
      </c>
      <c r="C30" s="10" t="s">
        <v>311</v>
      </c>
    </row>
  </sheetData>
  <pageMargins left="0" right="0" top="0.39370078740157483" bottom="0.39370078740157483" header="0" footer="0"/>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ALW7"/>
  <sheetViews>
    <sheetView workbookViewId="0">
      <pane xSplit="1" ySplit="2" topLeftCell="B3" activePane="bottomRight" state="frozen"/>
      <selection pane="topRight"/>
      <selection pane="bottomLeft"/>
      <selection pane="bottomRight"/>
    </sheetView>
  </sheetViews>
  <sheetFormatPr defaultColWidth="9" defaultRowHeight="12.75" x14ac:dyDescent="0.2"/>
  <cols>
    <col min="1" max="1" width="32.5" style="2" customWidth="1"/>
    <col min="2" max="2" width="11.75" style="2" customWidth="1"/>
    <col min="3" max="1011" width="10.625" style="2" customWidth="1"/>
    <col min="1012" max="16384" width="9" style="5"/>
  </cols>
  <sheetData>
    <row r="1" spans="1:2" s="11" customFormat="1" x14ac:dyDescent="0.2">
      <c r="A1" s="7" t="str">
        <f>CONCATENATE("Besluittypen bij zaaktype ",Zaaktype!B2,": ",Zaaktype!B3)</f>
        <v>Besluittypen bij zaaktype 10: Aanvraag beschikking regulier behandelen</v>
      </c>
      <c r="B1" s="7"/>
    </row>
    <row r="2" spans="1:2" ht="25.5" x14ac:dyDescent="0.2">
      <c r="A2" s="1" t="s">
        <v>312</v>
      </c>
      <c r="B2" s="1" t="s">
        <v>65</v>
      </c>
    </row>
    <row r="3" spans="1:2" x14ac:dyDescent="0.2">
      <c r="A3" s="10" t="s">
        <v>296</v>
      </c>
      <c r="B3" s="3">
        <v>43800</v>
      </c>
    </row>
    <row r="4" spans="1:2" x14ac:dyDescent="0.2">
      <c r="A4" s="10" t="s">
        <v>298</v>
      </c>
      <c r="B4" s="3">
        <v>43800</v>
      </c>
    </row>
    <row r="5" spans="1:2" x14ac:dyDescent="0.2">
      <c r="A5" s="10" t="s">
        <v>308</v>
      </c>
      <c r="B5" s="3">
        <v>43800</v>
      </c>
    </row>
    <row r="6" spans="1:2" x14ac:dyDescent="0.2">
      <c r="A6" s="10" t="s">
        <v>306</v>
      </c>
      <c r="B6" s="3">
        <v>43800</v>
      </c>
    </row>
    <row r="7" spans="1:2" x14ac:dyDescent="0.2">
      <c r="A7" s="10" t="s">
        <v>297</v>
      </c>
      <c r="B7" s="3">
        <v>43800</v>
      </c>
    </row>
  </sheetData>
  <pageMargins left="0" right="0" top="0.39370078740157483" bottom="0.39370078740157483" header="0" footer="0"/>
  <pageSetup paperSize="9" orientation="portrait" horizontalDpi="4294967293" verticalDpi="0" r:id="rId1"/>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AMS54"/>
  <sheetViews>
    <sheetView zoomScale="85" zoomScaleNormal="85" workbookViewId="0">
      <pane xSplit="2" ySplit="2" topLeftCell="C3" activePane="bottomRight" state="frozen"/>
      <selection pane="topRight"/>
      <selection pane="bottomLeft"/>
      <selection pane="bottomRight" activeCell="D6" sqref="D6"/>
    </sheetView>
  </sheetViews>
  <sheetFormatPr defaultColWidth="9" defaultRowHeight="12.75" x14ac:dyDescent="0.2"/>
  <cols>
    <col min="1" max="1" width="19.375" style="33" customWidth="1"/>
    <col min="2" max="2" width="25.25" style="33" customWidth="1"/>
    <col min="3" max="4" width="23.25" style="33" customWidth="1"/>
    <col min="5" max="5" width="19.25" style="33" bestFit="1" customWidth="1"/>
    <col min="6" max="6" width="10.5" style="33" customWidth="1"/>
    <col min="7" max="7" width="14.25" style="33" customWidth="1"/>
    <col min="8" max="8" width="19.75" style="33" customWidth="1"/>
    <col min="9" max="9" width="11.125" style="33" customWidth="1"/>
    <col min="10" max="10" width="14.75" style="33" customWidth="1"/>
    <col min="11" max="11" width="22.25" style="33" customWidth="1"/>
    <col min="12" max="16" width="18.875" style="33" customWidth="1"/>
    <col min="17" max="17" width="58.5" style="33" customWidth="1"/>
    <col min="18" max="18" width="26.375" style="33" customWidth="1"/>
    <col min="19" max="19" width="29.875" style="33" customWidth="1"/>
    <col min="20" max="20" width="31.25" style="33" customWidth="1"/>
    <col min="21" max="21" width="21.25" style="33" customWidth="1"/>
    <col min="22" max="1033" width="54.625" style="33" customWidth="1"/>
    <col min="1034" max="16384" width="9" style="32"/>
  </cols>
  <sheetData>
    <row r="1" spans="1:21" s="29" customFormat="1" ht="13.9" customHeight="1" x14ac:dyDescent="0.2">
      <c r="A1" s="27" t="str">
        <f>CONCATENATE("Resultaattypen bij zaaktype ",Zaaktype!B2,": ",Zaaktype!B3)</f>
        <v>Resultaattypen bij zaaktype 10: Aanvraag beschikking regulier behandelen</v>
      </c>
      <c r="B1" s="27"/>
      <c r="C1" s="27"/>
      <c r="D1" s="27"/>
      <c r="E1" s="27"/>
      <c r="F1" s="28"/>
      <c r="G1" s="28"/>
      <c r="H1" s="28"/>
      <c r="I1" s="28"/>
      <c r="J1" s="28"/>
      <c r="K1" s="28"/>
      <c r="L1" s="28"/>
      <c r="M1" s="28"/>
      <c r="N1" s="28"/>
      <c r="O1" s="28"/>
      <c r="P1" s="28"/>
      <c r="Q1" s="28"/>
      <c r="R1" s="28"/>
      <c r="S1" s="28"/>
      <c r="T1" s="28"/>
      <c r="U1" s="28"/>
    </row>
    <row r="2" spans="1:21" s="31" customFormat="1" ht="38.25" x14ac:dyDescent="0.2">
      <c r="A2" s="30" t="s">
        <v>313</v>
      </c>
      <c r="B2" s="30" t="s">
        <v>314</v>
      </c>
      <c r="C2" s="30" t="s">
        <v>315</v>
      </c>
      <c r="D2" s="30" t="s">
        <v>316</v>
      </c>
      <c r="E2" s="30" t="s">
        <v>317</v>
      </c>
      <c r="F2" s="30" t="s">
        <v>318</v>
      </c>
      <c r="G2" s="30" t="s">
        <v>319</v>
      </c>
      <c r="H2" s="30" t="s">
        <v>320</v>
      </c>
      <c r="I2" s="30" t="s">
        <v>321</v>
      </c>
      <c r="J2" s="30" t="s">
        <v>322</v>
      </c>
      <c r="K2" s="30" t="s">
        <v>323</v>
      </c>
      <c r="L2" s="30" t="s">
        <v>324</v>
      </c>
      <c r="M2" s="30" t="s">
        <v>325</v>
      </c>
      <c r="N2" s="30" t="s">
        <v>326</v>
      </c>
      <c r="O2" s="30" t="s">
        <v>327</v>
      </c>
      <c r="P2" s="30" t="s">
        <v>328</v>
      </c>
      <c r="Q2" s="31" t="s">
        <v>11</v>
      </c>
      <c r="R2" s="30" t="s">
        <v>329</v>
      </c>
      <c r="S2" s="30" t="s">
        <v>330</v>
      </c>
      <c r="T2" s="30" t="s">
        <v>331</v>
      </c>
      <c r="U2" s="30" t="s">
        <v>332</v>
      </c>
    </row>
    <row r="3" spans="1:21" ht="25.5" x14ac:dyDescent="0.2">
      <c r="A3" s="32" t="s">
        <v>333</v>
      </c>
      <c r="B3" s="32" t="s">
        <v>334</v>
      </c>
      <c r="C3" s="32" t="s">
        <v>333</v>
      </c>
      <c r="D3" s="32" t="s">
        <v>333</v>
      </c>
      <c r="E3" s="32"/>
      <c r="F3" s="32" t="s">
        <v>182</v>
      </c>
      <c r="G3" s="33" t="s">
        <v>335</v>
      </c>
      <c r="H3" s="32" t="s">
        <v>336</v>
      </c>
      <c r="I3" s="32"/>
      <c r="J3" s="33">
        <v>12</v>
      </c>
      <c r="K3" s="32" t="s">
        <v>337</v>
      </c>
      <c r="L3" s="32"/>
      <c r="M3" s="32"/>
      <c r="N3" s="32"/>
      <c r="O3" s="32"/>
      <c r="P3" s="32"/>
      <c r="Q3" s="32" t="s">
        <v>338</v>
      </c>
      <c r="R3" s="32"/>
      <c r="S3" s="32"/>
      <c r="T3" s="32"/>
      <c r="U3" s="32"/>
    </row>
    <row r="4" spans="1:21" ht="25.5" x14ac:dyDescent="0.2">
      <c r="A4" s="32" t="s">
        <v>339</v>
      </c>
      <c r="B4" s="32" t="s">
        <v>334</v>
      </c>
      <c r="C4" s="32" t="s">
        <v>340</v>
      </c>
      <c r="D4" s="32" t="s">
        <v>339</v>
      </c>
      <c r="E4" s="32"/>
      <c r="F4" s="32" t="s">
        <v>182</v>
      </c>
      <c r="G4" s="33" t="s">
        <v>341</v>
      </c>
      <c r="H4" s="32" t="s">
        <v>336</v>
      </c>
      <c r="I4" s="32"/>
      <c r="J4" s="33">
        <v>60</v>
      </c>
      <c r="K4" s="32" t="s">
        <v>337</v>
      </c>
      <c r="L4" s="32"/>
      <c r="M4" s="32"/>
      <c r="N4" s="32"/>
      <c r="O4" s="32"/>
      <c r="P4" s="32"/>
      <c r="Q4" s="32"/>
      <c r="R4" s="32"/>
      <c r="S4" s="32"/>
      <c r="T4" s="33" t="s">
        <v>296</v>
      </c>
      <c r="U4" s="32" t="s">
        <v>342</v>
      </c>
    </row>
    <row r="5" spans="1:21" ht="38.25" x14ac:dyDescent="0.2">
      <c r="A5" s="32" t="s">
        <v>340</v>
      </c>
      <c r="B5" s="32" t="s">
        <v>334</v>
      </c>
      <c r="C5" s="32" t="s">
        <v>340</v>
      </c>
      <c r="D5" s="32" t="s">
        <v>340</v>
      </c>
      <c r="E5" s="32"/>
      <c r="F5" s="32" t="s">
        <v>182</v>
      </c>
      <c r="G5" s="33" t="s">
        <v>341</v>
      </c>
      <c r="H5" s="32" t="s">
        <v>336</v>
      </c>
      <c r="I5" s="32"/>
      <c r="J5" s="33">
        <v>60</v>
      </c>
      <c r="K5" s="32" t="s">
        <v>337</v>
      </c>
      <c r="L5" s="32"/>
      <c r="M5" s="32"/>
      <c r="N5" s="32"/>
      <c r="O5" s="32"/>
      <c r="P5" s="32"/>
      <c r="Q5" s="32"/>
      <c r="R5" s="32"/>
      <c r="S5" s="32"/>
      <c r="T5" s="33" t="s">
        <v>343</v>
      </c>
      <c r="U5" s="32" t="s">
        <v>344</v>
      </c>
    </row>
    <row r="6" spans="1:21" ht="38.25" x14ac:dyDescent="0.2">
      <c r="A6" s="32" t="s">
        <v>345</v>
      </c>
      <c r="B6" s="32" t="s">
        <v>334</v>
      </c>
      <c r="C6" s="32" t="s">
        <v>340</v>
      </c>
      <c r="D6" s="32" t="s">
        <v>340</v>
      </c>
      <c r="E6" s="32" t="s">
        <v>346</v>
      </c>
      <c r="F6" s="32" t="s">
        <v>251</v>
      </c>
      <c r="G6" s="33" t="s">
        <v>347</v>
      </c>
      <c r="H6" s="32" t="s">
        <v>348</v>
      </c>
      <c r="I6" s="32"/>
      <c r="K6" s="32" t="s">
        <v>337</v>
      </c>
      <c r="L6" s="32"/>
      <c r="M6" s="32"/>
      <c r="N6" s="32"/>
      <c r="O6" s="32"/>
      <c r="P6" s="32"/>
      <c r="Q6" s="32" t="s">
        <v>349</v>
      </c>
      <c r="R6" s="32"/>
      <c r="S6" s="32"/>
      <c r="T6" s="33" t="s">
        <v>343</v>
      </c>
      <c r="U6" s="32" t="s">
        <v>344</v>
      </c>
    </row>
    <row r="7" spans="1:21" ht="25.5" x14ac:dyDescent="0.2">
      <c r="A7" s="32" t="s">
        <v>461</v>
      </c>
      <c r="B7" s="32" t="s">
        <v>334</v>
      </c>
      <c r="C7" s="32" t="s">
        <v>340</v>
      </c>
      <c r="D7" s="32" t="s">
        <v>461</v>
      </c>
      <c r="E7" s="32"/>
      <c r="F7" s="32" t="s">
        <v>182</v>
      </c>
      <c r="G7" s="33" t="s">
        <v>341</v>
      </c>
      <c r="H7" s="32" t="s">
        <v>336</v>
      </c>
      <c r="I7" s="32"/>
      <c r="J7" s="33">
        <v>60</v>
      </c>
      <c r="K7" s="32" t="s">
        <v>337</v>
      </c>
      <c r="L7" s="32"/>
      <c r="M7" s="32"/>
      <c r="N7" s="32"/>
      <c r="O7" s="32"/>
      <c r="P7" s="32"/>
      <c r="Q7" s="32" t="s">
        <v>462</v>
      </c>
      <c r="R7" s="32"/>
      <c r="S7" s="32"/>
      <c r="T7" s="33" t="s">
        <v>463</v>
      </c>
      <c r="U7" s="32"/>
    </row>
    <row r="8" spans="1:21" ht="38.25" x14ac:dyDescent="0.2">
      <c r="A8" s="32" t="s">
        <v>350</v>
      </c>
      <c r="B8" s="32" t="s">
        <v>334</v>
      </c>
      <c r="C8" s="32" t="s">
        <v>350</v>
      </c>
      <c r="D8" s="32" t="s">
        <v>350</v>
      </c>
      <c r="E8" s="32"/>
      <c r="F8" s="32" t="s">
        <v>182</v>
      </c>
      <c r="G8" s="33" t="s">
        <v>351</v>
      </c>
      <c r="H8" s="32" t="s">
        <v>336</v>
      </c>
      <c r="I8" s="32"/>
      <c r="J8" s="33">
        <v>12</v>
      </c>
      <c r="K8" s="32" t="s">
        <v>337</v>
      </c>
      <c r="L8" s="32"/>
      <c r="M8" s="32"/>
      <c r="N8" s="32"/>
      <c r="O8" s="32"/>
      <c r="P8" s="32"/>
      <c r="Q8" s="32" t="s">
        <v>352</v>
      </c>
      <c r="R8" s="32"/>
      <c r="S8" s="32"/>
      <c r="T8" s="33" t="s">
        <v>353</v>
      </c>
      <c r="U8" s="32" t="s">
        <v>344</v>
      </c>
    </row>
    <row r="9" spans="1:21" ht="51" x14ac:dyDescent="0.2">
      <c r="A9" s="32" t="s">
        <v>354</v>
      </c>
      <c r="B9" s="32" t="s">
        <v>334</v>
      </c>
      <c r="C9" s="32" t="s">
        <v>350</v>
      </c>
      <c r="D9" s="32" t="s">
        <v>350</v>
      </c>
      <c r="E9" s="32" t="s">
        <v>346</v>
      </c>
      <c r="F9" s="32" t="s">
        <v>251</v>
      </c>
      <c r="G9" s="33" t="s">
        <v>355</v>
      </c>
      <c r="H9" s="32" t="s">
        <v>348</v>
      </c>
      <c r="I9" s="32"/>
      <c r="K9" s="32" t="s">
        <v>337</v>
      </c>
      <c r="L9" s="32"/>
      <c r="M9" s="32"/>
      <c r="N9" s="32"/>
      <c r="O9" s="32"/>
      <c r="P9" s="32"/>
      <c r="Q9" s="32" t="s">
        <v>356</v>
      </c>
      <c r="R9" s="32"/>
      <c r="S9" s="32"/>
      <c r="T9" s="33" t="s">
        <v>353</v>
      </c>
      <c r="U9" s="32" t="s">
        <v>344</v>
      </c>
    </row>
    <row r="10" spans="1:21" ht="51" x14ac:dyDescent="0.2">
      <c r="A10" s="32" t="s">
        <v>357</v>
      </c>
      <c r="B10" s="32" t="s">
        <v>334</v>
      </c>
      <c r="C10" s="32" t="s">
        <v>350</v>
      </c>
      <c r="D10" s="32" t="s">
        <v>350</v>
      </c>
      <c r="E10" s="34" t="s">
        <v>358</v>
      </c>
      <c r="F10" s="32" t="s">
        <v>251</v>
      </c>
      <c r="G10" s="33" t="s">
        <v>359</v>
      </c>
      <c r="H10" s="32" t="s">
        <v>348</v>
      </c>
      <c r="I10" s="32"/>
      <c r="K10" s="32" t="s">
        <v>337</v>
      </c>
      <c r="L10" s="32"/>
      <c r="M10" s="32"/>
      <c r="N10" s="32"/>
      <c r="O10" s="32"/>
      <c r="P10" s="32"/>
      <c r="Q10" s="32" t="s">
        <v>360</v>
      </c>
      <c r="R10" s="32"/>
      <c r="S10" s="32"/>
      <c r="U10" s="32" t="s">
        <v>344</v>
      </c>
    </row>
    <row r="11" spans="1:21" ht="38.25" x14ac:dyDescent="0.2">
      <c r="A11" s="32" t="s">
        <v>361</v>
      </c>
      <c r="B11" s="32" t="s">
        <v>334</v>
      </c>
      <c r="C11" s="32" t="s">
        <v>361</v>
      </c>
      <c r="D11" s="32" t="s">
        <v>361</v>
      </c>
      <c r="E11" s="32"/>
      <c r="F11" s="32" t="s">
        <v>182</v>
      </c>
      <c r="G11" s="33" t="s">
        <v>362</v>
      </c>
      <c r="H11" s="32" t="s">
        <v>336</v>
      </c>
      <c r="I11" s="32"/>
      <c r="J11" s="33">
        <v>12</v>
      </c>
      <c r="K11" s="32" t="s">
        <v>363</v>
      </c>
      <c r="L11" s="32"/>
      <c r="M11" s="32"/>
      <c r="N11" s="32"/>
      <c r="O11" s="32"/>
      <c r="P11" s="32"/>
      <c r="Q11" s="32"/>
      <c r="R11" s="32"/>
      <c r="S11" s="32"/>
      <c r="T11" s="33" t="s">
        <v>343</v>
      </c>
      <c r="U11" s="32" t="s">
        <v>344</v>
      </c>
    </row>
    <row r="12" spans="1:21" ht="38.25" x14ac:dyDescent="0.2">
      <c r="A12" s="32" t="s">
        <v>364</v>
      </c>
      <c r="B12" s="32" t="s">
        <v>334</v>
      </c>
      <c r="C12" s="32" t="s">
        <v>361</v>
      </c>
      <c r="D12" s="32" t="s">
        <v>361</v>
      </c>
      <c r="E12" s="32" t="s">
        <v>346</v>
      </c>
      <c r="F12" s="32" t="s">
        <v>251</v>
      </c>
      <c r="G12" s="33" t="s">
        <v>365</v>
      </c>
      <c r="H12" s="32" t="s">
        <v>348</v>
      </c>
      <c r="I12" s="32"/>
      <c r="K12" s="32" t="s">
        <v>337</v>
      </c>
      <c r="L12" s="32"/>
      <c r="M12" s="32"/>
      <c r="N12" s="32"/>
      <c r="O12" s="32"/>
      <c r="P12" s="32"/>
      <c r="Q12" s="32" t="s">
        <v>366</v>
      </c>
      <c r="R12" s="32"/>
      <c r="S12" s="32"/>
      <c r="T12" s="33" t="s">
        <v>343</v>
      </c>
      <c r="U12" s="32" t="s">
        <v>344</v>
      </c>
    </row>
    <row r="13" spans="1:21" ht="38.25" x14ac:dyDescent="0.2">
      <c r="A13" s="32" t="s">
        <v>367</v>
      </c>
      <c r="B13" s="32" t="s">
        <v>334</v>
      </c>
      <c r="C13" s="32" t="s">
        <v>361</v>
      </c>
      <c r="D13" s="32" t="s">
        <v>361</v>
      </c>
      <c r="E13" s="32" t="s">
        <v>368</v>
      </c>
      <c r="F13" s="32" t="s">
        <v>251</v>
      </c>
      <c r="G13" s="33" t="s">
        <v>369</v>
      </c>
      <c r="H13" s="32" t="s">
        <v>336</v>
      </c>
      <c r="I13" s="32"/>
      <c r="J13" s="33">
        <v>12</v>
      </c>
      <c r="K13" s="32" t="s">
        <v>363</v>
      </c>
      <c r="L13" s="32"/>
      <c r="M13" s="32"/>
      <c r="N13" s="32"/>
      <c r="O13" s="32"/>
      <c r="P13" s="32"/>
      <c r="Q13" s="32" t="s">
        <v>370</v>
      </c>
      <c r="R13" s="32"/>
      <c r="S13" s="32"/>
      <c r="T13" s="33" t="s">
        <v>343</v>
      </c>
      <c r="U13" s="32" t="s">
        <v>344</v>
      </c>
    </row>
    <row r="14" spans="1:21" ht="38.25" x14ac:dyDescent="0.2">
      <c r="A14" s="32" t="s">
        <v>371</v>
      </c>
      <c r="B14" s="32" t="s">
        <v>334</v>
      </c>
      <c r="C14" s="32" t="s">
        <v>361</v>
      </c>
      <c r="D14" s="32" t="s">
        <v>361</v>
      </c>
      <c r="E14" s="32" t="s">
        <v>372</v>
      </c>
      <c r="F14" s="32" t="s">
        <v>251</v>
      </c>
      <c r="G14" s="33" t="s">
        <v>373</v>
      </c>
      <c r="H14" s="32" t="s">
        <v>336</v>
      </c>
      <c r="I14" s="32"/>
      <c r="J14" s="33">
        <v>12</v>
      </c>
      <c r="K14" s="32" t="s">
        <v>337</v>
      </c>
      <c r="L14" s="32"/>
      <c r="M14" s="32"/>
      <c r="N14" s="32"/>
      <c r="O14" s="32"/>
      <c r="P14" s="32"/>
      <c r="Q14" s="32" t="s">
        <v>374</v>
      </c>
      <c r="R14" s="32"/>
      <c r="S14" s="32"/>
      <c r="T14" s="33" t="s">
        <v>343</v>
      </c>
      <c r="U14" s="32" t="s">
        <v>344</v>
      </c>
    </row>
    <row r="15" spans="1:21" ht="51" x14ac:dyDescent="0.2">
      <c r="A15" s="32" t="s">
        <v>375</v>
      </c>
      <c r="B15" s="32" t="s">
        <v>334</v>
      </c>
      <c r="C15" s="32" t="s">
        <v>361</v>
      </c>
      <c r="D15" s="32" t="s">
        <v>361</v>
      </c>
      <c r="E15" s="32" t="s">
        <v>376</v>
      </c>
      <c r="F15" s="32" t="s">
        <v>251</v>
      </c>
      <c r="G15" s="33" t="s">
        <v>377</v>
      </c>
      <c r="H15" s="32" t="s">
        <v>348</v>
      </c>
      <c r="I15" s="32"/>
      <c r="K15" s="32" t="s">
        <v>337</v>
      </c>
      <c r="L15" s="32"/>
      <c r="M15" s="32"/>
      <c r="N15" s="32"/>
      <c r="O15" s="32"/>
      <c r="P15" s="32"/>
      <c r="Q15" s="32" t="s">
        <v>378</v>
      </c>
      <c r="R15" s="32"/>
      <c r="S15" s="32"/>
      <c r="T15" s="33" t="s">
        <v>343</v>
      </c>
      <c r="U15" s="32" t="s">
        <v>344</v>
      </c>
    </row>
    <row r="16" spans="1:21" ht="38.25" x14ac:dyDescent="0.2">
      <c r="A16" s="32" t="s">
        <v>379</v>
      </c>
      <c r="B16" s="32" t="s">
        <v>334</v>
      </c>
      <c r="C16" s="32" t="s">
        <v>361</v>
      </c>
      <c r="D16" s="32" t="s">
        <v>361</v>
      </c>
      <c r="E16" s="32" t="s">
        <v>380</v>
      </c>
      <c r="F16" s="32" t="s">
        <v>251</v>
      </c>
      <c r="G16" s="33" t="s">
        <v>381</v>
      </c>
      <c r="H16" s="32" t="s">
        <v>336</v>
      </c>
      <c r="I16" s="32"/>
      <c r="J16" s="33">
        <v>12</v>
      </c>
      <c r="K16" s="32" t="s">
        <v>363</v>
      </c>
      <c r="L16" s="32"/>
      <c r="M16" s="32"/>
      <c r="N16" s="32"/>
      <c r="O16" s="32"/>
      <c r="P16" s="32"/>
      <c r="Q16" s="32" t="s">
        <v>382</v>
      </c>
      <c r="R16" s="32"/>
      <c r="S16" s="32"/>
      <c r="T16" s="33" t="s">
        <v>343</v>
      </c>
      <c r="U16" s="32" t="s">
        <v>344</v>
      </c>
    </row>
    <row r="17" spans="1:21" s="32" customFormat="1" ht="25.5" x14ac:dyDescent="0.2">
      <c r="A17" s="32" t="s">
        <v>383</v>
      </c>
      <c r="B17" s="32" t="s">
        <v>384</v>
      </c>
      <c r="C17" s="32" t="s">
        <v>340</v>
      </c>
      <c r="D17" s="32" t="s">
        <v>340</v>
      </c>
      <c r="G17" s="33">
        <v>21</v>
      </c>
      <c r="H17" s="32" t="s">
        <v>336</v>
      </c>
      <c r="J17" s="33">
        <v>120</v>
      </c>
      <c r="K17" s="32" t="s">
        <v>385</v>
      </c>
      <c r="Q17" s="32" t="s">
        <v>386</v>
      </c>
      <c r="U17" s="32" t="s">
        <v>344</v>
      </c>
    </row>
    <row r="18" spans="1:21" s="32" customFormat="1" x14ac:dyDescent="0.2">
      <c r="A18" s="32" t="s">
        <v>383</v>
      </c>
      <c r="B18" s="32" t="s">
        <v>384</v>
      </c>
      <c r="C18" s="32" t="s">
        <v>340</v>
      </c>
      <c r="D18" s="32" t="s">
        <v>340</v>
      </c>
      <c r="G18" s="33">
        <v>21</v>
      </c>
      <c r="H18" s="32" t="s">
        <v>336</v>
      </c>
      <c r="J18" s="33">
        <v>120</v>
      </c>
      <c r="K18" s="32" t="s">
        <v>385</v>
      </c>
      <c r="Q18" s="32" t="s">
        <v>387</v>
      </c>
      <c r="U18" s="32" t="s">
        <v>344</v>
      </c>
    </row>
    <row r="19" spans="1:21" s="32" customFormat="1" ht="25.5" x14ac:dyDescent="0.2">
      <c r="A19" s="32" t="s">
        <v>383</v>
      </c>
      <c r="B19" s="32" t="s">
        <v>384</v>
      </c>
      <c r="C19" s="32" t="s">
        <v>340</v>
      </c>
      <c r="D19" s="32" t="s">
        <v>340</v>
      </c>
      <c r="G19" s="33">
        <v>21</v>
      </c>
      <c r="H19" s="32" t="s">
        <v>336</v>
      </c>
      <c r="J19" s="33">
        <v>120</v>
      </c>
      <c r="K19" s="32" t="s">
        <v>385</v>
      </c>
      <c r="Q19" s="32" t="s">
        <v>388</v>
      </c>
      <c r="U19" s="32" t="s">
        <v>344</v>
      </c>
    </row>
    <row r="20" spans="1:21" s="32" customFormat="1" x14ac:dyDescent="0.2">
      <c r="A20" s="32" t="s">
        <v>383</v>
      </c>
      <c r="B20" s="32" t="s">
        <v>384</v>
      </c>
      <c r="C20" s="32" t="s">
        <v>340</v>
      </c>
      <c r="D20" s="32" t="s">
        <v>340</v>
      </c>
      <c r="G20" s="33">
        <v>21</v>
      </c>
      <c r="H20" s="32" t="s">
        <v>336</v>
      </c>
      <c r="J20" s="33">
        <v>120</v>
      </c>
      <c r="K20" s="32" t="s">
        <v>385</v>
      </c>
      <c r="Q20" s="32" t="s">
        <v>389</v>
      </c>
      <c r="U20" s="32" t="s">
        <v>344</v>
      </c>
    </row>
    <row r="21" spans="1:21" s="32" customFormat="1" x14ac:dyDescent="0.2">
      <c r="A21" s="32" t="s">
        <v>383</v>
      </c>
      <c r="B21" s="32" t="s">
        <v>384</v>
      </c>
      <c r="C21" s="32" t="s">
        <v>340</v>
      </c>
      <c r="D21" s="32" t="s">
        <v>340</v>
      </c>
      <c r="G21" s="33">
        <v>21</v>
      </c>
      <c r="H21" s="32" t="s">
        <v>336</v>
      </c>
      <c r="J21" s="33">
        <v>120</v>
      </c>
      <c r="K21" s="32" t="s">
        <v>385</v>
      </c>
      <c r="Q21" s="32" t="s">
        <v>390</v>
      </c>
      <c r="U21" s="32" t="s">
        <v>344</v>
      </c>
    </row>
    <row r="22" spans="1:21" s="32" customFormat="1" ht="25.5" x14ac:dyDescent="0.2">
      <c r="A22" s="32" t="s">
        <v>383</v>
      </c>
      <c r="B22" s="32" t="s">
        <v>384</v>
      </c>
      <c r="C22" s="32" t="s">
        <v>340</v>
      </c>
      <c r="D22" s="32" t="s">
        <v>340</v>
      </c>
      <c r="G22" s="33">
        <v>21</v>
      </c>
      <c r="H22" s="32" t="s">
        <v>336</v>
      </c>
      <c r="J22" s="33">
        <v>120</v>
      </c>
      <c r="K22" s="32" t="s">
        <v>385</v>
      </c>
      <c r="Q22" s="32" t="s">
        <v>391</v>
      </c>
      <c r="U22" s="32" t="s">
        <v>344</v>
      </c>
    </row>
    <row r="23" spans="1:21" s="32" customFormat="1" ht="25.5" x14ac:dyDescent="0.2">
      <c r="A23" s="32" t="s">
        <v>383</v>
      </c>
      <c r="B23" s="32" t="s">
        <v>384</v>
      </c>
      <c r="C23" s="32" t="s">
        <v>340</v>
      </c>
      <c r="D23" s="32" t="s">
        <v>340</v>
      </c>
      <c r="G23" s="33">
        <v>21</v>
      </c>
      <c r="H23" s="32" t="s">
        <v>336</v>
      </c>
      <c r="J23" s="33">
        <v>120</v>
      </c>
      <c r="K23" s="32" t="s">
        <v>385</v>
      </c>
      <c r="Q23" s="32" t="s">
        <v>392</v>
      </c>
      <c r="U23" s="32" t="s">
        <v>344</v>
      </c>
    </row>
    <row r="24" spans="1:21" s="32" customFormat="1" ht="25.5" x14ac:dyDescent="0.2">
      <c r="A24" s="32" t="s">
        <v>383</v>
      </c>
      <c r="B24" s="32" t="s">
        <v>384</v>
      </c>
      <c r="C24" s="32" t="s">
        <v>340</v>
      </c>
      <c r="D24" s="32" t="s">
        <v>340</v>
      </c>
      <c r="G24" s="33">
        <v>21</v>
      </c>
      <c r="H24" s="32" t="s">
        <v>336</v>
      </c>
      <c r="J24" s="33">
        <v>120</v>
      </c>
      <c r="K24" s="32" t="s">
        <v>385</v>
      </c>
      <c r="Q24" s="32" t="s">
        <v>393</v>
      </c>
      <c r="U24" s="32" t="s">
        <v>344</v>
      </c>
    </row>
    <row r="25" spans="1:21" s="32" customFormat="1" ht="25.5" x14ac:dyDescent="0.2">
      <c r="A25" s="32" t="s">
        <v>383</v>
      </c>
      <c r="B25" s="32" t="s">
        <v>384</v>
      </c>
      <c r="C25" s="32" t="s">
        <v>340</v>
      </c>
      <c r="D25" s="32" t="s">
        <v>340</v>
      </c>
      <c r="G25" s="33">
        <v>21</v>
      </c>
      <c r="H25" s="32" t="s">
        <v>336</v>
      </c>
      <c r="J25" s="33">
        <v>120</v>
      </c>
      <c r="K25" s="32" t="s">
        <v>385</v>
      </c>
      <c r="Q25" s="32" t="s">
        <v>394</v>
      </c>
      <c r="U25" s="32" t="s">
        <v>344</v>
      </c>
    </row>
    <row r="26" spans="1:21" s="32" customFormat="1" ht="25.5" x14ac:dyDescent="0.2">
      <c r="A26" s="32" t="s">
        <v>395</v>
      </c>
      <c r="B26" s="32" t="s">
        <v>384</v>
      </c>
      <c r="C26" s="32" t="s">
        <v>350</v>
      </c>
      <c r="D26" s="32" t="s">
        <v>350</v>
      </c>
      <c r="G26" s="33">
        <v>21</v>
      </c>
      <c r="H26" s="32" t="s">
        <v>336</v>
      </c>
      <c r="J26" s="33">
        <v>120</v>
      </c>
      <c r="K26" s="32" t="s">
        <v>385</v>
      </c>
      <c r="Q26" s="32" t="s">
        <v>396</v>
      </c>
      <c r="T26" s="33" t="s">
        <v>353</v>
      </c>
      <c r="U26" s="32" t="s">
        <v>344</v>
      </c>
    </row>
    <row r="27" spans="1:21" s="32" customFormat="1" ht="25.5" x14ac:dyDescent="0.2">
      <c r="A27" s="32" t="s">
        <v>395</v>
      </c>
      <c r="B27" s="32" t="s">
        <v>384</v>
      </c>
      <c r="C27" s="32" t="s">
        <v>350</v>
      </c>
      <c r="D27" s="32" t="s">
        <v>350</v>
      </c>
      <c r="G27" s="33">
        <v>21</v>
      </c>
      <c r="H27" s="32" t="s">
        <v>336</v>
      </c>
      <c r="J27" s="33">
        <v>120</v>
      </c>
      <c r="K27" s="32" t="s">
        <v>385</v>
      </c>
      <c r="Q27" s="32" t="s">
        <v>393</v>
      </c>
      <c r="T27" s="33" t="s">
        <v>353</v>
      </c>
      <c r="U27" s="32" t="s">
        <v>344</v>
      </c>
    </row>
    <row r="28" spans="1:21" s="32" customFormat="1" ht="25.5" x14ac:dyDescent="0.2">
      <c r="A28" s="32" t="s">
        <v>395</v>
      </c>
      <c r="B28" s="32" t="s">
        <v>384</v>
      </c>
      <c r="C28" s="32" t="s">
        <v>350</v>
      </c>
      <c r="D28" s="32" t="s">
        <v>350</v>
      </c>
      <c r="G28" s="33">
        <v>21</v>
      </c>
      <c r="H28" s="32" t="s">
        <v>336</v>
      </c>
      <c r="J28" s="33">
        <v>120</v>
      </c>
      <c r="K28" s="32" t="s">
        <v>385</v>
      </c>
      <c r="Q28" s="32" t="s">
        <v>390</v>
      </c>
      <c r="T28" s="33" t="s">
        <v>353</v>
      </c>
      <c r="U28" s="32" t="s">
        <v>344</v>
      </c>
    </row>
    <row r="29" spans="1:21" s="32" customFormat="1" ht="25.5" x14ac:dyDescent="0.2">
      <c r="A29" s="32" t="s">
        <v>395</v>
      </c>
      <c r="B29" s="32" t="s">
        <v>384</v>
      </c>
      <c r="C29" s="32" t="s">
        <v>350</v>
      </c>
      <c r="D29" s="32" t="s">
        <v>350</v>
      </c>
      <c r="G29" s="33">
        <v>21</v>
      </c>
      <c r="H29" s="32" t="s">
        <v>336</v>
      </c>
      <c r="J29" s="33">
        <v>120</v>
      </c>
      <c r="K29" s="32" t="s">
        <v>385</v>
      </c>
      <c r="Q29" s="32" t="s">
        <v>388</v>
      </c>
      <c r="T29" s="33" t="s">
        <v>353</v>
      </c>
      <c r="U29" s="32" t="s">
        <v>344</v>
      </c>
    </row>
    <row r="30" spans="1:21" s="32" customFormat="1" ht="25.5" x14ac:dyDescent="0.2">
      <c r="A30" s="32" t="s">
        <v>395</v>
      </c>
      <c r="B30" s="32" t="s">
        <v>384</v>
      </c>
      <c r="C30" s="32" t="s">
        <v>350</v>
      </c>
      <c r="D30" s="32" t="s">
        <v>350</v>
      </c>
      <c r="G30" s="33">
        <v>21</v>
      </c>
      <c r="H30" s="32" t="s">
        <v>336</v>
      </c>
      <c r="J30" s="33">
        <v>120</v>
      </c>
      <c r="K30" s="32" t="s">
        <v>385</v>
      </c>
      <c r="Q30" s="32" t="s">
        <v>392</v>
      </c>
      <c r="T30" s="33" t="s">
        <v>353</v>
      </c>
      <c r="U30" s="32" t="s">
        <v>344</v>
      </c>
    </row>
    <row r="31" spans="1:21" s="32" customFormat="1" ht="25.5" x14ac:dyDescent="0.2">
      <c r="A31" s="32" t="s">
        <v>395</v>
      </c>
      <c r="B31" s="32" t="s">
        <v>384</v>
      </c>
      <c r="C31" s="32" t="s">
        <v>350</v>
      </c>
      <c r="D31" s="32" t="s">
        <v>350</v>
      </c>
      <c r="G31" s="33">
        <v>21</v>
      </c>
      <c r="H31" s="32" t="s">
        <v>336</v>
      </c>
      <c r="J31" s="33">
        <v>120</v>
      </c>
      <c r="K31" s="32" t="s">
        <v>385</v>
      </c>
      <c r="Q31" s="32" t="s">
        <v>389</v>
      </c>
      <c r="T31" s="33" t="s">
        <v>353</v>
      </c>
      <c r="U31" s="32" t="s">
        <v>344</v>
      </c>
    </row>
    <row r="32" spans="1:21" s="32" customFormat="1" ht="25.5" x14ac:dyDescent="0.2">
      <c r="A32" s="32" t="s">
        <v>395</v>
      </c>
      <c r="B32" s="32" t="s">
        <v>384</v>
      </c>
      <c r="C32" s="32" t="s">
        <v>350</v>
      </c>
      <c r="D32" s="32" t="s">
        <v>350</v>
      </c>
      <c r="G32" s="33">
        <v>24</v>
      </c>
      <c r="H32" s="32" t="s">
        <v>397</v>
      </c>
      <c r="J32" s="33"/>
      <c r="K32" s="32" t="s">
        <v>385</v>
      </c>
      <c r="Q32" s="32" t="s">
        <v>391</v>
      </c>
      <c r="T32" s="33" t="s">
        <v>353</v>
      </c>
      <c r="U32" s="32" t="s">
        <v>344</v>
      </c>
    </row>
    <row r="33" spans="1:21" ht="25.5" x14ac:dyDescent="0.2">
      <c r="A33" s="32" t="s">
        <v>395</v>
      </c>
      <c r="B33" s="32" t="s">
        <v>384</v>
      </c>
      <c r="C33" s="32" t="s">
        <v>350</v>
      </c>
      <c r="D33" s="32" t="s">
        <v>350</v>
      </c>
      <c r="E33" s="32"/>
      <c r="F33" s="32"/>
      <c r="G33" s="33">
        <v>21</v>
      </c>
      <c r="H33" s="32" t="s">
        <v>336</v>
      </c>
      <c r="I33" s="32"/>
      <c r="J33" s="33">
        <v>120</v>
      </c>
      <c r="K33" s="32" t="s">
        <v>385</v>
      </c>
      <c r="L33" s="32"/>
      <c r="M33" s="32"/>
      <c r="N33" s="32"/>
      <c r="O33" s="32"/>
      <c r="P33" s="32"/>
      <c r="Q33" s="32" t="s">
        <v>387</v>
      </c>
      <c r="R33" s="32"/>
      <c r="S33" s="32"/>
      <c r="T33" s="33" t="s">
        <v>353</v>
      </c>
      <c r="U33" s="32" t="s">
        <v>344</v>
      </c>
    </row>
    <row r="34" spans="1:21" ht="25.5" x14ac:dyDescent="0.2">
      <c r="A34" s="32" t="s">
        <v>398</v>
      </c>
      <c r="B34" s="32" t="s">
        <v>384</v>
      </c>
      <c r="C34" s="32" t="s">
        <v>361</v>
      </c>
      <c r="D34" s="32" t="s">
        <v>361</v>
      </c>
      <c r="E34" s="32"/>
      <c r="F34" s="32"/>
      <c r="G34" s="33">
        <v>24</v>
      </c>
      <c r="H34" s="32" t="s">
        <v>348</v>
      </c>
      <c r="I34" s="32"/>
      <c r="K34" s="32" t="s">
        <v>337</v>
      </c>
      <c r="L34" s="32"/>
      <c r="M34" s="32"/>
      <c r="N34" s="32"/>
      <c r="O34" s="32"/>
      <c r="P34" s="32"/>
      <c r="Q34" s="32" t="s">
        <v>391</v>
      </c>
      <c r="R34" s="32"/>
      <c r="S34" s="32"/>
      <c r="T34" s="32"/>
      <c r="U34" s="32" t="s">
        <v>344</v>
      </c>
    </row>
    <row r="35" spans="1:21" x14ac:dyDescent="0.2">
      <c r="A35" s="32" t="s">
        <v>398</v>
      </c>
      <c r="B35" s="32" t="s">
        <v>384</v>
      </c>
      <c r="C35" s="32" t="s">
        <v>361</v>
      </c>
      <c r="D35" s="32" t="s">
        <v>361</v>
      </c>
      <c r="E35" s="32"/>
      <c r="F35" s="32"/>
      <c r="G35" s="33">
        <v>24</v>
      </c>
      <c r="H35" s="32" t="s">
        <v>348</v>
      </c>
      <c r="I35" s="32"/>
      <c r="K35" s="32" t="s">
        <v>337</v>
      </c>
      <c r="L35" s="32"/>
      <c r="M35" s="32"/>
      <c r="N35" s="32"/>
      <c r="O35" s="32"/>
      <c r="P35" s="32"/>
      <c r="Q35" s="32" t="s">
        <v>387</v>
      </c>
      <c r="R35" s="32"/>
      <c r="S35" s="32"/>
      <c r="T35" s="32"/>
      <c r="U35" s="32" t="s">
        <v>344</v>
      </c>
    </row>
    <row r="36" spans="1:21" ht="25.5" x14ac:dyDescent="0.2">
      <c r="A36" s="32" t="s">
        <v>398</v>
      </c>
      <c r="B36" s="32" t="s">
        <v>384</v>
      </c>
      <c r="C36" s="32" t="s">
        <v>361</v>
      </c>
      <c r="D36" s="32" t="s">
        <v>361</v>
      </c>
      <c r="E36" s="32"/>
      <c r="F36" s="32"/>
      <c r="G36" s="33">
        <v>24</v>
      </c>
      <c r="H36" s="32" t="s">
        <v>348</v>
      </c>
      <c r="I36" s="32"/>
      <c r="K36" s="32" t="s">
        <v>337</v>
      </c>
      <c r="L36" s="32"/>
      <c r="M36" s="32"/>
      <c r="N36" s="32"/>
      <c r="O36" s="32"/>
      <c r="P36" s="32"/>
      <c r="Q36" s="32" t="s">
        <v>392</v>
      </c>
      <c r="R36" s="32"/>
      <c r="S36" s="32"/>
      <c r="T36" s="32"/>
      <c r="U36" s="32" t="s">
        <v>344</v>
      </c>
    </row>
    <row r="37" spans="1:21" x14ac:dyDescent="0.2">
      <c r="A37" s="32" t="s">
        <v>398</v>
      </c>
      <c r="B37" s="32" t="s">
        <v>384</v>
      </c>
      <c r="C37" s="32" t="s">
        <v>361</v>
      </c>
      <c r="D37" s="32" t="s">
        <v>361</v>
      </c>
      <c r="E37" s="32"/>
      <c r="F37" s="32"/>
      <c r="G37" s="33">
        <v>24</v>
      </c>
      <c r="H37" s="32" t="s">
        <v>348</v>
      </c>
      <c r="I37" s="32"/>
      <c r="K37" s="32" t="s">
        <v>363</v>
      </c>
      <c r="L37" s="32"/>
      <c r="M37" s="32"/>
      <c r="N37" s="32"/>
      <c r="O37" s="32"/>
      <c r="P37" s="32"/>
      <c r="Q37" s="32" t="s">
        <v>390</v>
      </c>
      <c r="R37" s="32"/>
      <c r="S37" s="32"/>
      <c r="T37" s="32"/>
      <c r="U37" s="32" t="s">
        <v>344</v>
      </c>
    </row>
    <row r="38" spans="1:21" ht="25.5" x14ac:dyDescent="0.2">
      <c r="A38" s="32" t="s">
        <v>398</v>
      </c>
      <c r="B38" s="32" t="s">
        <v>384</v>
      </c>
      <c r="C38" s="32" t="s">
        <v>361</v>
      </c>
      <c r="D38" s="32" t="s">
        <v>361</v>
      </c>
      <c r="E38" s="32"/>
      <c r="F38" s="32"/>
      <c r="G38" s="33">
        <v>22</v>
      </c>
      <c r="H38" s="32" t="s">
        <v>336</v>
      </c>
      <c r="I38" s="32"/>
      <c r="J38" s="33">
        <v>240</v>
      </c>
      <c r="K38" s="32" t="s">
        <v>363</v>
      </c>
      <c r="L38" s="32"/>
      <c r="M38" s="32"/>
      <c r="N38" s="32"/>
      <c r="O38" s="32"/>
      <c r="P38" s="32"/>
      <c r="Q38" s="32" t="s">
        <v>396</v>
      </c>
      <c r="R38" s="32"/>
      <c r="S38" s="32"/>
      <c r="T38" s="32"/>
      <c r="U38" s="32" t="s">
        <v>344</v>
      </c>
    </row>
    <row r="39" spans="1:21" x14ac:dyDescent="0.2">
      <c r="A39" s="32" t="s">
        <v>398</v>
      </c>
      <c r="B39" s="32" t="s">
        <v>384</v>
      </c>
      <c r="C39" s="32" t="s">
        <v>361</v>
      </c>
      <c r="D39" s="32" t="s">
        <v>361</v>
      </c>
      <c r="E39" s="32"/>
      <c r="F39" s="32"/>
      <c r="G39" s="33">
        <v>25</v>
      </c>
      <c r="H39" s="32" t="s">
        <v>348</v>
      </c>
      <c r="I39" s="32"/>
      <c r="K39" s="32" t="s">
        <v>337</v>
      </c>
      <c r="L39" s="32"/>
      <c r="M39" s="32"/>
      <c r="N39" s="32"/>
      <c r="O39" s="32"/>
      <c r="P39" s="32"/>
      <c r="Q39" s="32" t="s">
        <v>389</v>
      </c>
      <c r="R39" s="32"/>
      <c r="S39" s="32"/>
      <c r="T39" s="32"/>
      <c r="U39" s="32" t="s">
        <v>344</v>
      </c>
    </row>
    <row r="40" spans="1:21" ht="25.5" x14ac:dyDescent="0.2">
      <c r="A40" s="32" t="s">
        <v>398</v>
      </c>
      <c r="B40" s="32" t="s">
        <v>384</v>
      </c>
      <c r="C40" s="32" t="s">
        <v>361</v>
      </c>
      <c r="D40" s="32" t="s">
        <v>361</v>
      </c>
      <c r="E40" s="32"/>
      <c r="F40" s="32"/>
      <c r="G40" s="33">
        <v>22</v>
      </c>
      <c r="H40" s="32" t="s">
        <v>336</v>
      </c>
      <c r="I40" s="32"/>
      <c r="J40" s="33">
        <v>240</v>
      </c>
      <c r="K40" s="32" t="s">
        <v>363</v>
      </c>
      <c r="L40" s="32"/>
      <c r="M40" s="32"/>
      <c r="N40" s="32"/>
      <c r="O40" s="32"/>
      <c r="P40" s="32"/>
      <c r="Q40" s="32" t="s">
        <v>393</v>
      </c>
      <c r="R40" s="32"/>
      <c r="S40" s="32"/>
      <c r="T40" s="32"/>
      <c r="U40" s="32" t="s">
        <v>344</v>
      </c>
    </row>
    <row r="41" spans="1:21" ht="25.5" x14ac:dyDescent="0.2">
      <c r="A41" s="32" t="s">
        <v>398</v>
      </c>
      <c r="B41" s="32" t="s">
        <v>384</v>
      </c>
      <c r="C41" s="32" t="s">
        <v>361</v>
      </c>
      <c r="D41" s="32" t="s">
        <v>361</v>
      </c>
      <c r="E41" s="32"/>
      <c r="F41" s="32"/>
      <c r="G41" s="33">
        <v>24</v>
      </c>
      <c r="H41" s="32" t="s">
        <v>348</v>
      </c>
      <c r="I41" s="32"/>
      <c r="K41" s="32" t="s">
        <v>337</v>
      </c>
      <c r="L41" s="32"/>
      <c r="M41" s="32"/>
      <c r="N41" s="32"/>
      <c r="O41" s="32"/>
      <c r="P41" s="32"/>
      <c r="Q41" s="32" t="s">
        <v>388</v>
      </c>
      <c r="R41" s="32"/>
      <c r="S41" s="32"/>
      <c r="T41" s="32"/>
      <c r="U41" s="32" t="s">
        <v>344</v>
      </c>
    </row>
    <row r="42" spans="1:21" ht="25.5" x14ac:dyDescent="0.2">
      <c r="A42" s="32" t="s">
        <v>398</v>
      </c>
      <c r="B42" s="32" t="s">
        <v>384</v>
      </c>
      <c r="C42" s="32" t="s">
        <v>361</v>
      </c>
      <c r="D42" s="32" t="s">
        <v>361</v>
      </c>
      <c r="E42" s="32"/>
      <c r="F42" s="32"/>
      <c r="G42" s="33">
        <v>21</v>
      </c>
      <c r="H42" s="32" t="s">
        <v>336</v>
      </c>
      <c r="I42" s="32"/>
      <c r="J42" s="33">
        <v>120</v>
      </c>
      <c r="K42" s="32" t="s">
        <v>385</v>
      </c>
      <c r="L42" s="32"/>
      <c r="M42" s="32"/>
      <c r="N42" s="32"/>
      <c r="O42" s="32"/>
      <c r="P42" s="32"/>
      <c r="Q42" s="32" t="s">
        <v>394</v>
      </c>
      <c r="R42" s="32"/>
      <c r="S42" s="32"/>
      <c r="T42" s="32"/>
      <c r="U42" s="32" t="s">
        <v>344</v>
      </c>
    </row>
    <row r="43" spans="1:21" ht="25.5" x14ac:dyDescent="0.2">
      <c r="A43" s="33" t="s">
        <v>333</v>
      </c>
      <c r="B43" s="33" t="s">
        <v>384</v>
      </c>
      <c r="C43" s="33" t="s">
        <v>333</v>
      </c>
      <c r="D43" s="33" t="s">
        <v>333</v>
      </c>
      <c r="G43" s="33">
        <v>1</v>
      </c>
      <c r="H43" s="33" t="s">
        <v>336</v>
      </c>
      <c r="J43" s="33">
        <v>36</v>
      </c>
      <c r="K43" s="33" t="s">
        <v>337</v>
      </c>
      <c r="Q43" s="32" t="s">
        <v>399</v>
      </c>
    </row>
    <row r="44" spans="1:21" ht="38.25" x14ac:dyDescent="0.2">
      <c r="A44" s="33" t="s">
        <v>400</v>
      </c>
      <c r="B44" s="33" t="s">
        <v>401</v>
      </c>
      <c r="C44" s="33" t="s">
        <v>361</v>
      </c>
      <c r="D44" s="33" t="s">
        <v>361</v>
      </c>
      <c r="G44" s="33" t="s">
        <v>402</v>
      </c>
      <c r="H44" s="33" t="s">
        <v>348</v>
      </c>
    </row>
    <row r="45" spans="1:21" ht="38.25" x14ac:dyDescent="0.2">
      <c r="A45" s="33" t="s">
        <v>403</v>
      </c>
      <c r="B45" s="33" t="s">
        <v>401</v>
      </c>
      <c r="C45" s="33" t="s">
        <v>361</v>
      </c>
      <c r="D45" s="33" t="s">
        <v>361</v>
      </c>
      <c r="G45" s="33" t="s">
        <v>402</v>
      </c>
      <c r="H45" s="33" t="s">
        <v>336</v>
      </c>
      <c r="J45" s="33">
        <v>60</v>
      </c>
      <c r="K45" s="33" t="s">
        <v>404</v>
      </c>
    </row>
    <row r="46" spans="1:21" ht="25.5" x14ac:dyDescent="0.2">
      <c r="A46" s="33" t="s">
        <v>405</v>
      </c>
      <c r="B46" s="33" t="s">
        <v>401</v>
      </c>
      <c r="C46" s="33" t="s">
        <v>361</v>
      </c>
      <c r="D46" s="33" t="s">
        <v>361</v>
      </c>
      <c r="G46" s="33" t="s">
        <v>406</v>
      </c>
      <c r="H46" s="33" t="s">
        <v>336</v>
      </c>
      <c r="J46" s="33">
        <v>60</v>
      </c>
      <c r="K46" s="33" t="s">
        <v>404</v>
      </c>
    </row>
    <row r="47" spans="1:21" ht="25.5" x14ac:dyDescent="0.2">
      <c r="A47" s="33" t="s">
        <v>407</v>
      </c>
      <c r="B47" s="33" t="s">
        <v>401</v>
      </c>
      <c r="C47" s="33" t="s">
        <v>361</v>
      </c>
      <c r="D47" s="33" t="s">
        <v>361</v>
      </c>
      <c r="G47" s="33" t="s">
        <v>406</v>
      </c>
      <c r="H47" s="33" t="s">
        <v>336</v>
      </c>
      <c r="J47" s="33">
        <v>60</v>
      </c>
      <c r="K47" s="33" t="s">
        <v>404</v>
      </c>
    </row>
    <row r="48" spans="1:21" ht="25.5" x14ac:dyDescent="0.2">
      <c r="A48" s="33" t="s">
        <v>408</v>
      </c>
      <c r="B48" s="33" t="s">
        <v>401</v>
      </c>
      <c r="C48" s="33" t="s">
        <v>361</v>
      </c>
      <c r="D48" s="33" t="s">
        <v>361</v>
      </c>
      <c r="G48" s="33" t="s">
        <v>406</v>
      </c>
      <c r="H48" s="33" t="s">
        <v>348</v>
      </c>
    </row>
    <row r="49" spans="1:11" x14ac:dyDescent="0.2">
      <c r="A49" s="33" t="s">
        <v>340</v>
      </c>
      <c r="B49" s="33" t="s">
        <v>401</v>
      </c>
      <c r="C49" s="33" t="s">
        <v>340</v>
      </c>
      <c r="D49" s="33" t="s">
        <v>340</v>
      </c>
      <c r="G49" s="33" t="s">
        <v>406</v>
      </c>
      <c r="H49" s="33" t="s">
        <v>336</v>
      </c>
      <c r="J49" s="33">
        <v>60</v>
      </c>
      <c r="K49" s="33" t="s">
        <v>337</v>
      </c>
    </row>
    <row r="50" spans="1:11" x14ac:dyDescent="0.2">
      <c r="A50" s="33" t="s">
        <v>409</v>
      </c>
      <c r="B50" s="33" t="s">
        <v>401</v>
      </c>
      <c r="C50" s="33" t="s">
        <v>409</v>
      </c>
      <c r="D50" s="33" t="s">
        <v>409</v>
      </c>
      <c r="G50" s="33" t="s">
        <v>406</v>
      </c>
      <c r="H50" s="33" t="s">
        <v>336</v>
      </c>
      <c r="J50" s="33">
        <v>12</v>
      </c>
      <c r="K50" s="33" t="s">
        <v>337</v>
      </c>
    </row>
    <row r="51" spans="1:11" ht="25.5" x14ac:dyDescent="0.2">
      <c r="A51" s="33" t="s">
        <v>410</v>
      </c>
      <c r="B51" s="33" t="s">
        <v>401</v>
      </c>
      <c r="C51" s="33" t="s">
        <v>410</v>
      </c>
      <c r="D51" s="33" t="s">
        <v>410</v>
      </c>
      <c r="G51" s="33" t="s">
        <v>406</v>
      </c>
      <c r="H51" s="33" t="s">
        <v>336</v>
      </c>
      <c r="J51" s="33">
        <v>60</v>
      </c>
      <c r="K51" s="33" t="s">
        <v>337</v>
      </c>
    </row>
    <row r="52" spans="1:11" ht="25.5" x14ac:dyDescent="0.2">
      <c r="A52" s="33" t="s">
        <v>411</v>
      </c>
      <c r="B52" s="33" t="s">
        <v>401</v>
      </c>
      <c r="C52" s="33" t="s">
        <v>411</v>
      </c>
      <c r="D52" s="33" t="s">
        <v>411</v>
      </c>
      <c r="G52" s="33" t="s">
        <v>412</v>
      </c>
      <c r="H52" s="33" t="s">
        <v>336</v>
      </c>
      <c r="J52" s="33">
        <v>12</v>
      </c>
      <c r="K52" s="33" t="s">
        <v>337</v>
      </c>
    </row>
    <row r="53" spans="1:11" x14ac:dyDescent="0.2">
      <c r="A53" s="33" t="s">
        <v>333</v>
      </c>
      <c r="B53" s="33" t="s">
        <v>401</v>
      </c>
      <c r="C53" s="33" t="s">
        <v>333</v>
      </c>
      <c r="D53" s="33" t="s">
        <v>333</v>
      </c>
      <c r="G53" s="33" t="s">
        <v>413</v>
      </c>
      <c r="H53" s="33" t="s">
        <v>336</v>
      </c>
      <c r="J53" s="33">
        <v>12</v>
      </c>
      <c r="K53" s="33" t="s">
        <v>337</v>
      </c>
    </row>
    <row r="54" spans="1:11" x14ac:dyDescent="0.2">
      <c r="A54" s="32" t="s">
        <v>461</v>
      </c>
      <c r="B54" s="32" t="s">
        <v>401</v>
      </c>
      <c r="C54" s="32" t="s">
        <v>340</v>
      </c>
      <c r="D54" s="32" t="s">
        <v>461</v>
      </c>
      <c r="E54" s="32"/>
      <c r="F54" s="32" t="s">
        <v>182</v>
      </c>
      <c r="G54" s="33" t="s">
        <v>406</v>
      </c>
      <c r="H54" s="32" t="s">
        <v>336</v>
      </c>
      <c r="I54" s="32"/>
      <c r="J54" s="33">
        <v>60</v>
      </c>
      <c r="K54" s="32" t="s">
        <v>337</v>
      </c>
    </row>
  </sheetData>
  <autoFilter ref="A2:AMS42" xr:uid="{00000000-0001-0000-0700-000000000000}"/>
  <mergeCells count="1">
    <mergeCell ref="A1:E1"/>
  </mergeCells>
  <pageMargins left="0" right="0" top="0.39370078740157483" bottom="0.39370078740157483" header="0" footer="0"/>
  <pageSetup paperSize="9" orientation="portrait" r:id="rId1"/>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E8DBE-8284-45AB-96FD-1238C65E001F}">
  <dimension ref="A1:A2"/>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19.375" style="5" customWidth="1"/>
    <col min="2" max="16384" width="8.75" style="5"/>
  </cols>
  <sheetData>
    <row r="1" spans="1:1" s="13" customFormat="1" x14ac:dyDescent="0.2">
      <c r="A1" s="11" t="str">
        <f>CONCATENATE("Deelzaaktypen van zaaktype ",Zaaktype!B2,": ",Zaaktype!B3)</f>
        <v>Deelzaaktypen van zaaktype 10: Aanvraag beschikking regulier behandelen</v>
      </c>
    </row>
    <row r="2" spans="1:1" s="4" customFormat="1" x14ac:dyDescent="0.2">
      <c r="A2" s="4" t="s">
        <v>414</v>
      </c>
    </row>
  </sheetData>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I16"/>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42.25" style="2" bestFit="1" customWidth="1"/>
    <col min="2" max="2" width="14.75" style="2" customWidth="1"/>
    <col min="3" max="1023" width="53.375" style="2" customWidth="1"/>
    <col min="1024" max="16384" width="8.75" style="5"/>
  </cols>
  <sheetData>
    <row r="1" spans="1:3" s="11" customFormat="1" x14ac:dyDescent="0.2">
      <c r="A1" s="7" t="str">
        <f>CONCATENATE("Gerelateerde zaaktypen van zaaktype ",Zaaktype!B2,": ",Zaaktype!B3)</f>
        <v>Gerelateerde zaaktypen van zaaktype 10: Aanvraag beschikking regulier behandelen</v>
      </c>
      <c r="B1" s="7"/>
      <c r="C1" s="7"/>
    </row>
    <row r="2" spans="1:3" x14ac:dyDescent="0.2">
      <c r="A2" s="1" t="s">
        <v>415</v>
      </c>
      <c r="B2" s="1" t="s">
        <v>416</v>
      </c>
      <c r="C2" s="1" t="s">
        <v>11</v>
      </c>
    </row>
    <row r="3" spans="1:3" ht="63.75" x14ac:dyDescent="0.2">
      <c r="A3" s="12" t="s">
        <v>417</v>
      </c>
      <c r="B3" s="2" t="s">
        <v>418</v>
      </c>
      <c r="C3" s="2" t="s">
        <v>419</v>
      </c>
    </row>
    <row r="4" spans="1:3" ht="89.25" x14ac:dyDescent="0.2">
      <c r="A4" s="12" t="s">
        <v>417</v>
      </c>
      <c r="B4" s="2" t="s">
        <v>418</v>
      </c>
      <c r="C4" s="2" t="s">
        <v>420</v>
      </c>
    </row>
    <row r="5" spans="1:3" ht="76.5" x14ac:dyDescent="0.2">
      <c r="A5" s="12" t="s">
        <v>421</v>
      </c>
      <c r="B5" s="2" t="s">
        <v>418</v>
      </c>
      <c r="C5" s="2" t="s">
        <v>422</v>
      </c>
    </row>
    <row r="6" spans="1:3" ht="153" x14ac:dyDescent="0.2">
      <c r="A6" s="12" t="s">
        <v>423</v>
      </c>
      <c r="B6" s="2" t="s">
        <v>418</v>
      </c>
      <c r="C6" s="2" t="s">
        <v>424</v>
      </c>
    </row>
    <row r="7" spans="1:3" ht="153" x14ac:dyDescent="0.2">
      <c r="A7" s="12" t="s">
        <v>425</v>
      </c>
      <c r="B7" s="2" t="s">
        <v>418</v>
      </c>
      <c r="C7" s="2" t="s">
        <v>426</v>
      </c>
    </row>
    <row r="8" spans="1:3" ht="89.25" x14ac:dyDescent="0.2">
      <c r="A8" s="12" t="s">
        <v>427</v>
      </c>
      <c r="B8" s="2" t="s">
        <v>418</v>
      </c>
      <c r="C8" s="2" t="s">
        <v>428</v>
      </c>
    </row>
    <row r="9" spans="1:3" ht="76.5" x14ac:dyDescent="0.2">
      <c r="A9" s="12" t="s">
        <v>427</v>
      </c>
      <c r="B9" s="2" t="s">
        <v>418</v>
      </c>
      <c r="C9" s="2" t="s">
        <v>429</v>
      </c>
    </row>
    <row r="10" spans="1:3" ht="63.75" x14ac:dyDescent="0.2">
      <c r="A10" s="12" t="s">
        <v>430</v>
      </c>
      <c r="B10" s="2" t="s">
        <v>418</v>
      </c>
      <c r="C10" s="2" t="s">
        <v>431</v>
      </c>
    </row>
    <row r="11" spans="1:3" ht="76.5" x14ac:dyDescent="0.2">
      <c r="A11" s="12" t="s">
        <v>432</v>
      </c>
      <c r="B11" s="2" t="s">
        <v>418</v>
      </c>
      <c r="C11" s="2" t="s">
        <v>433</v>
      </c>
    </row>
    <row r="12" spans="1:3" ht="63.75" x14ac:dyDescent="0.2">
      <c r="A12" s="12" t="s">
        <v>432</v>
      </c>
      <c r="B12" s="2" t="s">
        <v>434</v>
      </c>
      <c r="C12" s="2" t="s">
        <v>435</v>
      </c>
    </row>
    <row r="13" spans="1:3" ht="38.25" x14ac:dyDescent="0.2">
      <c r="A13" s="12" t="s">
        <v>421</v>
      </c>
      <c r="B13" s="2" t="s">
        <v>434</v>
      </c>
      <c r="C13" s="2" t="s">
        <v>436</v>
      </c>
    </row>
    <row r="14" spans="1:3" ht="63.75" x14ac:dyDescent="0.2">
      <c r="A14" s="2" t="s">
        <v>437</v>
      </c>
      <c r="B14" s="2" t="s">
        <v>418</v>
      </c>
      <c r="C14" s="2" t="s">
        <v>438</v>
      </c>
    </row>
    <row r="15" spans="1:3" ht="63" customHeight="1" x14ac:dyDescent="0.2">
      <c r="A15" s="2" t="s">
        <v>439</v>
      </c>
      <c r="B15" s="2" t="s">
        <v>418</v>
      </c>
      <c r="C15" s="2" t="s">
        <v>440</v>
      </c>
    </row>
    <row r="16" spans="1:3" ht="51" x14ac:dyDescent="0.2">
      <c r="A16" s="2" t="s">
        <v>441</v>
      </c>
      <c r="B16" s="2" t="s">
        <v>418</v>
      </c>
      <c r="C16" s="2" t="s">
        <v>442</v>
      </c>
    </row>
  </sheetData>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heetViews>
  <sheetFormatPr defaultColWidth="8.75" defaultRowHeight="12.75" x14ac:dyDescent="0.2"/>
  <cols>
    <col min="1" max="1" width="39.25" style="8" bestFit="1" customWidth="1"/>
    <col min="2" max="2" width="8.75" style="8"/>
    <col min="3" max="3" width="51.5" style="8" customWidth="1"/>
    <col min="4" max="16384" width="8.75" style="8"/>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
  <sheetViews>
    <sheetView workbookViewId="0"/>
  </sheetViews>
  <sheetFormatPr defaultColWidth="9" defaultRowHeight="12.75" x14ac:dyDescent="0.2"/>
  <cols>
    <col min="1" max="1" width="28.375" style="10" customWidth="1"/>
    <col min="2" max="2" width="9" style="10"/>
    <col min="3" max="3" width="54.125" style="10" customWidth="1"/>
    <col min="4" max="16384" width="9" style="10"/>
  </cols>
  <sheetData/>
  <pageMargins left="0" right="0" top="0.39370078740157483" bottom="0.39370078740157483" header="0" footer="0"/>
  <headerFooter>
    <oddHeader>&amp;C&amp;A</oddHeader>
    <oddFooter>&amp;CPagina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4752D4-C1EC-4559-A7A1-7BF0AD1A4577}"/>
</file>

<file path=customXml/itemProps2.xml><?xml version="1.0" encoding="utf-8"?>
<ds:datastoreItem xmlns:ds="http://schemas.openxmlformats.org/officeDocument/2006/customXml" ds:itemID="{25A75550-1B99-4718-A462-43034EB85B0A}">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customXml/itemProps3.xml><?xml version="1.0" encoding="utf-8"?>
<ds:datastoreItem xmlns:ds="http://schemas.openxmlformats.org/officeDocument/2006/customXml" ds:itemID="{6B8101DB-42FE-4D1E-9876-85DA47C60A03}">
  <ds:schemaRefs>
    <ds:schemaRef ds:uri="http://schemas.microsoft.com/sharepoint/v3/contenttype/forms"/>
  </ds:schemaRefs>
</ds:datastoreItem>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7</cp:revision>
  <dcterms:created xsi:type="dcterms:W3CDTF">2020-11-30T10:22:09Z</dcterms:created>
  <dcterms:modified xsi:type="dcterms:W3CDTF">2025-12-18T08:04:17Z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