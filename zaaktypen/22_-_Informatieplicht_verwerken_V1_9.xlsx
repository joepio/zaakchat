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658" documentId="8_{255D8AA2-CA56-48F2-8567-73030AEB3556}" xr6:coauthVersionLast="47" xr6:coauthVersionMax="47" xr10:uidLastSave="{F4751E9D-D614-4663-84E0-0BB76660A428}"/>
  <bookViews>
    <workbookView xWindow="-120" yWindow="-16320" windowWidth="29040" windowHeight="15720"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9" r:id="rId10"/>
    <sheet name="Gerelateerde zaken" sheetId="10" r:id="rId11"/>
    <sheet name="Afbeelding" sheetId="11" r:id="rId12"/>
    <sheet name="Figuur" sheetId="14" r:id="rId13"/>
  </sheets>
  <definedNames>
    <definedName name="_xlnm._FilterDatabase" localSheetId="4" hidden="1">Objecten!$A$2:$AMI$2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A1" i="7"/>
  <c r="A1" i="6" l="1"/>
  <c r="A1" i="5" l="1"/>
  <c r="A1" i="13" l="1"/>
  <c r="A1" i="9" l="1"/>
  <c r="A1" i="10"/>
  <c r="A1" i="8" l="1"/>
  <c r="A1" i="4" l="1"/>
  <c r="A1" i="2"/>
  <c r="A1" i="3"/>
</calcChain>
</file>

<file path=xl/sharedStrings.xml><?xml version="1.0" encoding="utf-8"?>
<sst xmlns="http://schemas.openxmlformats.org/spreadsheetml/2006/main" count="660" uniqueCount="359">
  <si>
    <t>Kenmerk</t>
  </si>
  <si>
    <t>Waarde</t>
  </si>
  <si>
    <t>IDENTIFICATIE</t>
  </si>
  <si>
    <t>OMSCHRIJVING</t>
  </si>
  <si>
    <t>Informatieplicht verwerken</t>
  </si>
  <si>
    <t>CATEGORIE</t>
  </si>
  <si>
    <t>Vergunningverlening</t>
  </si>
  <si>
    <t>DOEL</t>
  </si>
  <si>
    <t>Het administratief verwerken van aangeleverde informatie naar aanleiding van een informatieplicht.</t>
  </si>
  <si>
    <t>AANLEIDING</t>
  </si>
  <si>
    <t>Het naar voren brengen van informatie naar aanleiding van een verplichting om het bevoegd gezag te informeren over een activiteit.</t>
  </si>
  <si>
    <t>TOELICHTING</t>
  </si>
  <si>
    <t>De informatieplicht is een administratieve verplichting waarbij er geen verbod is om de activiteiten uit te voeren als er niet aan de informatieplicht is voldaan. Dit in tegenstelling tot de meldplicht waarbij het verboden is om de activiteit uit te voeren als deze niet is gemeld. Vanuit onder andere de omgevingswet, het BBL en het BAL, zijn er diverse activiteiten waarbij er een verplichting is om het bevoegd gezag te informeren en in sommige gevallen gegevens en bescheiden aan te leveren.</t>
  </si>
  <si>
    <t>INDICATIE INTERN OF EXTERN</t>
  </si>
  <si>
    <t>Extern</t>
  </si>
  <si>
    <t>HANDELING INITIATOR</t>
  </si>
  <si>
    <t>Indienen</t>
  </si>
  <si>
    <t>ONDERWERP</t>
  </si>
  <si>
    <t>Informatieplicht</t>
  </si>
  <si>
    <t>HANDELING BEHANDELAAR</t>
  </si>
  <si>
    <t>Verwerken</t>
  </si>
  <si>
    <t>DOORLOOPTIJD BEHANDELING (KALENDERDAGEN) (2.1)</t>
  </si>
  <si>
    <t>- DOORLOOPTIJD - PERIODE-EENHEID (2.2)</t>
  </si>
  <si>
    <t>- DOORLOOPTIJD - PERIODEDUUR (2.2)</t>
  </si>
  <si>
    <t>SERVICENORM BEHANDELING (KALENDERDAGEN) (2.1)</t>
  </si>
  <si>
    <t>week</t>
  </si>
  <si>
    <t>OPSCHORTING / AANHOUDING MOGELIJK</t>
  </si>
  <si>
    <t>nee</t>
  </si>
  <si>
    <t>VERLENGING MOGELIJK</t>
  </si>
  <si>
    <t>VERLENGINGSTERMIJN</t>
  </si>
  <si>
    <t>TREFWOORDEN</t>
  </si>
  <si>
    <t>VERTROUWELIJKHEIDAANDUIDING</t>
  </si>
  <si>
    <t>Intern</t>
  </si>
  <si>
    <t>VERANTWOORDELIJKE</t>
  </si>
  <si>
    <t>PUBLICATIE-INDICATIE</t>
  </si>
  <si>
    <t>Nee</t>
  </si>
  <si>
    <t>PUBLICATIETEKST</t>
  </si>
  <si>
    <t>PRODUCT / DIENST:</t>
  </si>
  <si>
    <t>- NAAM</t>
  </si>
  <si>
    <t xml:space="preserve">Informatiebericht - informatieplichten opgenomen in Omgevingsvergunningen!
Informatiebericht - informatieplichten uit de bruidsschat (starten of wijzigen informatieplichtige activiteit)
Informatiebericht - informatieplichten op grond van omgevingsplannen (per gemeente afwijkende lijst)
Informatiebericht - informatieplichten op grond van Omgevingsverordeningen (per provincie afwijkende lijst)
Informatiebericht - start sloopwerkzaamheden (artikel 7.12 lid 2  Bbl)
Informatiebericht - beeindiging sloopwerkzaamheden (artikel 7.12 lid 3 Bbl)
Informatiebericht - start bouwwerkzaamheden (artikel 7.7 lid 1 Bbl)
Informatiebericht - beeindiging bouwwerkzaamheden (artikel 7.7 lid 2 Bbl)
Informatiebericht - constatering nog niet eerder ontdekt asbest (artikel 7.11 lid 3 Bbl)
Informatiebericht - strijdigheid bouwbesluit (Bkl art. 3.86 lid 1 artikel 3.27 lid 1
Informatiebericht - informeren BG over de emissies van zeer zorgwekkende stoffen (artikel 5.23 BAL)
Informatiebericht - informeren BG over het uitvallen van afgasreinigingsapparatuur (art 4.47 BAL)
Informatiebericht - informeren BG over het buiten gebruik stellen van een windturbine (art. 4.429 BAL)
Informatiebericht - informeren BG over de datum en het tijdstip van een periodieke meting (artikel 4.49 BAL)
Informatiebericht - informatieplicht indienen veiligheidsrapport (bepaalde activiteiten) (Artikel 4.20 BAL)
Informatiebericht - Informatieplicht indienen geuronderzoek (bepaalde activiteiten, maatwerk, par, 4.27/4.28/4.49)
Informatiebericht - Informatieplicht indienen resultaten grondwateranalyse (artikel 4.604)
Informatiebericht - Informatieplicht indienen meetrapport van ammoniak en fijnstof (art. 4.825)
Informatiebericht - Informatieplicht indienen rapportage eindonderzoek bodem (par 5.2.1. BAL)
Informatiebericht - Informatieplicht melden ongewoon voorval
Informatiebericht - informatieplicht start sanering MBA-bodemsanering
Informatiebericht - informatieplicht afronding sanering MBA-bodemsanering
Informatiebericht - Informatieplicht start ontgraving MBA-graven
Informatiebericht - Informatieplicht afronding ontgraving MBA-graven
Informatiebericht - informatieplicht max 1 week voor start (gegevens aannemer, MKB-er etc) MBA-bodemsanering
Informatiebericht - informatieplicht max 1 week voor start (gegevens aannemer, MKB-er etc) MBA-graven
</t>
  </si>
  <si>
    <t>- LINK</t>
  </si>
  <si>
    <t>REFERENTIEPROCES:</t>
  </si>
  <si>
    <t>Behandelen melding of informatie</t>
  </si>
  <si>
    <t>https://www.gemmaonline.nl/wiki?title=Uitwerking_bedrijfsproces&amp;proces=Omgevingswet/id-ec3e309d-1a85-4788-bd36-14df42c33e73</t>
  </si>
  <si>
    <t>VERANTWOORDINGSRELATIE (2.2)</t>
  </si>
  <si>
    <t>ARCHIEFCLASSIFICATIE (2.2):</t>
  </si>
  <si>
    <t>- BRON</t>
  </si>
  <si>
    <t>- CODE (2.1)</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</si>
  <si>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</si>
  <si>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</si>
  <si>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</si>
  <si>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</si>
  <si>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</si>
  <si>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</si>
  <si>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</si>
  <si>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</si>
  <si>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</si>
  <si>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</si>
  <si>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</si>
  <si>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</si>
  <si>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</si>
  <si>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</si>
  <si>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</si>
  <si>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</si>
  <si>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</si>
  <si>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</si>
  <si>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</si>
  <si>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Zaak gestart</t>
  </si>
  <si>
    <t>kalenderdagen</t>
  </si>
  <si>
    <t>De zaak is geregistreerd, maar is nog geen sprake van een afgeronde registratie. Er is - al dan niet geautomatiseerd - een bewijs van ontvangst verzonden.</t>
  </si>
  <si>
    <t>Ontvangstbevestiging
Informatie</t>
  </si>
  <si>
    <t>Intake afgerond</t>
  </si>
  <si>
    <t>Ja</t>
  </si>
  <si>
    <t>Er is gecontroleerd of de gemeente het bevoegd gezag is om de ontvangen informatie in behandeling te nemen. Als de gemeente niet het bevoegd gezag is, is de informatie direct doorgestuurd naar het juiste bevoegd gezag en is de behandeling afgebroken. De informatie is toegewezen aan een zaakbehandelaar (medewerker of organisatieonderdeel).</t>
  </si>
  <si>
    <t>Getoetst en verwerkt</t>
  </si>
  <si>
    <t>Er is gecontroleerd of de ontvangen informatie gerelateerd is aan andere verzoeken. Er is beoordeeld of de ontvangen informatie informatieplichtig is. Er is (zonodig in samenspraak met in- en externe adviseurs) gecontroleerd of de informatie aan de indieningsvereisten voldoet. De informatie is inhoudelijk beoordeeld.</t>
  </si>
  <si>
    <t>Zaak afgerond</t>
  </si>
  <si>
    <t>Het resultaat van de behandeling van de informatie is eventueel verzonden. Er is eventueel een kennisgeving gedaan van de ontvangen informatie. Relevante registraties zijn eventueel bijgewerkt. Indien daartoe aanleiding is geweest, is het proces voor maatwerkvoorschriften gestart. Er is eventueel een proces Toezichthouden gestart n.a.v. de ontvangen informatie. De zaak is afgerond.</t>
  </si>
  <si>
    <t>Statustype</t>
  </si>
  <si>
    <t>Itemnaam</t>
  </si>
  <si>
    <t>Vraagstelling</t>
  </si>
  <si>
    <t>Verplicht</t>
  </si>
  <si>
    <t>1</t>
  </si>
  <si>
    <t>1 - Registratie</t>
  </si>
  <si>
    <t>Is de aanlevering van informatie geregistreerd?</t>
  </si>
  <si>
    <t>Bij informatie die via het Omgevingsloket worden ingediend ontvangt de gemeente geautomatiseerd een signaal vanuit het DSO; in dat geval kan het VTH-/zaak-systeem de informatie automatisch registreren. Bij informatie die op papier rechtstreeks bij de gemeente ingediend wordt, is handmatige registratie nodig in het VTH-systeem.</t>
  </si>
  <si>
    <t>2 - Ontvangstbevestiging</t>
  </si>
  <si>
    <t>Is er een bevestiging van ontvangst verzonden?</t>
  </si>
  <si>
    <t>Er wordt onverwijld (bij voorkeur automatisch) een bevestiging van ontvangst van de informatie verzonden aan de indiener. In de bevestiging wordt de dag van ontvangst van de informatie vermeld. Als er geen elektronisch adres bekend is, wordt bepaald op welke wijze communicatie met de indiener plaatsvindt.</t>
  </si>
  <si>
    <t>2</t>
  </si>
  <si>
    <t>1 - Bevoegd gezag</t>
  </si>
  <si>
    <t>Is de zaakbehandelende organisatie bevoegd de informatie te behandelen?</t>
  </si>
  <si>
    <t>Vaak is de gemeente (waar de activiteit of activiteiten geheel of in hoofdzaak zullen worden verricht) bevoegd gezag, maar er zijn uitzonderingen. Als de gemeente niet het bevoegd gezag is, stuurt de gemeente de informatie direct door naar het juiste bevoegd gezag en breekt de behandeling af.</t>
  </si>
  <si>
    <t>2 - Toewijzen</t>
  </si>
  <si>
    <t>Is de zaak aan een behandelaar toegekend?</t>
  </si>
  <si>
    <t>De melding wordt toegewezen aan een hoofdbehandelaar, die als taak heeft het zorgdragen dat de informatie correct en tijdig behandeld wordt en zorgt voor een integrale afstemming.</t>
  </si>
  <si>
    <t>1 - Gerelateerde verzoeken</t>
  </si>
  <si>
    <t>Is gecontroleerd of er gerelateerde verzoeken zijn?</t>
  </si>
  <si>
    <t>Er wordt gecontroleerd of er gerelateerde verzoeken zijn, die op dezelfde locatie in het DSO zijn ingediend. Ten eerste om te bepalen of er verzoeken aan elkaar gekoppeld moeten worden en ten tweede om te bepalen of er afstemming nodig is met ketenpartners/behandeldiensten.</t>
  </si>
  <si>
    <t>2 - Controleren informatieplicht</t>
  </si>
  <si>
    <t>Geldt voor het ingediende verzoek een informatieplicht?</t>
  </si>
  <si>
    <t>Gecontroleerd wordt of voor de activiteit of gebeurtenis een informatieplicht geldt. Als de activiteit of gebeurtenis niet onder de voorgenoemde plicht valt, wordt de informatie niet behandeld.</t>
  </si>
  <si>
    <t>3 - Indieningsvereisten</t>
  </si>
  <si>
    <t>Voldoet de melding aan de indieningsvereisten?</t>
  </si>
  <si>
    <t>Gecontroleerd wordt of de ingediende informatie voldoet aan de gestelde indieningsvereisten.</t>
  </si>
  <si>
    <t>3 - Inhoudelijk behandelen</t>
  </si>
  <si>
    <t>Is de melding inhoudelijk behandeld?</t>
  </si>
  <si>
    <t>Inhoudelijke behandeling van de melding.</t>
  </si>
  <si>
    <t>1 - Verzenden resultaat</t>
  </si>
  <si>
    <t>Is het resultaat van de toetsing verzonden?</t>
  </si>
  <si>
    <t>Het resultaat van de controle/behandeling van de informatie wordt verzonden aan de initiatiefnemer. Alleen als aan alle indieningsvereisten is voldaan, is de informatie gedaan. Het resultaat van de controle/behandeling van de informatie wordt verzonden aan de initiatiefnemer. Ook als de informatie is overgedragen aan een ander bevoegd gezag wordt dit kenbaar gemaakt aan de initiatiefnemer.</t>
  </si>
  <si>
    <t>2 - Kennisgeven informatie</t>
  </si>
  <si>
    <t>Is van de ìnformatie een kennisgeving gedaan?</t>
  </si>
  <si>
    <t xml:space="preserve">In een aantal gevallen is voor een informatie kennisgeving verplicht. In andere gevallen kan de gemeente ervoor kiezen wel of niet een kennisgeving te doen.
Dit wordt gedaan in het elektronisch gemeenteblad. </t>
  </si>
  <si>
    <t>3 - Registraties</t>
  </si>
  <si>
    <t>Zijn de registraties bijgewerkt?</t>
  </si>
  <si>
    <t>In specifieke gevallen moeten de consequenties van de informatie in een of meer lokale of landelijke registers verwerkt worden.</t>
  </si>
  <si>
    <t>4 - Maatwerkvoorschrift</t>
  </si>
  <si>
    <t>Is het proces Behandelen aanvraag t.b.v. Maatwerkvoorschrift geïnitieerd?</t>
  </si>
  <si>
    <t>De informatie kan aanleiding zijn om het proces voor het opstellen van maatwerkvoorschriften te starten.</t>
  </si>
  <si>
    <t>5 - Toezicht</t>
  </si>
  <si>
    <t>Is het proces Toezichthouden geïnitieerd?</t>
  </si>
  <si>
    <t>Toezicht wordt aangestuurd. Daarbij worden eventuele inzichten uit de beoordelingsfase van de informatie als aandachtspunten aan de toezichthouders meegegeven.</t>
  </si>
  <si>
    <t>Omschrijving generiek</t>
  </si>
  <si>
    <t>Soort betrokkene</t>
  </si>
  <si>
    <t>Mag zetten Statustype</t>
  </si>
  <si>
    <t>Andere organisatie</t>
  </si>
  <si>
    <t>Belanghebbende</t>
  </si>
  <si>
    <t>Niet-natuurlijk persoon</t>
  </si>
  <si>
    <t>Gemachtigde</t>
  </si>
  <si>
    <t>Natuurlijk persoon, Niet-natuurlijk persoon, Vestiging</t>
  </si>
  <si>
    <t>Initiatiefnemer</t>
  </si>
  <si>
    <t>Initiator</t>
  </si>
  <si>
    <t>Zaakbehandelaar</t>
  </si>
  <si>
    <t>Behandelaar</t>
  </si>
  <si>
    <t>3 - Registreerbaarheid getoetst</t>
  </si>
  <si>
    <t>Adviseur</t>
  </si>
  <si>
    <t>Naam objecttype</t>
  </si>
  <si>
    <t>Niet-RSGB/RGBZ- objecttype?</t>
  </si>
  <si>
    <t>Omschrijving relatie met zaaktype</t>
  </si>
  <si>
    <t>ANDER BUITENLANDS NIET-NATUURLIJK PERSOON</t>
  </si>
  <si>
    <t>Ander buitenlands niet-natuurlijk persoon waarop de zaak betrekking heeft.</t>
  </si>
  <si>
    <t>ANDER NATUURLIJK PERSOON</t>
  </si>
  <si>
    <t>Ander natuurlijk persoon waarop de zaak betrekking heeft.</t>
  </si>
  <si>
    <t>APPARTEMENTSRECHT</t>
  </si>
  <si>
    <t>Appartementsrecht waarop de zaak betrekking heeft.</t>
  </si>
  <si>
    <t>BESLUIT</t>
  </si>
  <si>
    <t>Besluit waarop de zaak betrekking heeft.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</si>
  <si>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</si>
  <si>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</si>
  <si>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</si>
  <si>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</si>
  <si>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</si>
  <si>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</si>
  <si>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</si>
  <si>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</si>
  <si>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</si>
  <si>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</si>
  <si>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</si>
  <si>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</si>
  <si>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</si>
  <si>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</si>
  <si>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</si>
  <si>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</si>
  <si>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</si>
  <si>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</si>
  <si>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</si>
  <si>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</si>
  <si>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</si>
  <si>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</si>
  <si>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</si>
  <si>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</si>
  <si>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</si>
  <si>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</si>
  <si>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</si>
  <si>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</si>
  <si>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</si>
  <si>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</si>
  <si>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</si>
  <si>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</si>
  <si>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</si>
  <si>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</si>
  <si>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</si>
  <si>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</si>
  <si>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</si>
  <si>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</si>
  <si>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</si>
  <si>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</si>
  <si>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</si>
  <si>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</si>
  <si>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</si>
  <si>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</si>
  <si>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</si>
  <si>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</si>
  <si>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</si>
  <si>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</si>
  <si>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</si>
  <si>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</si>
  <si>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</si>
  <si>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</si>
  <si>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</si>
  <si>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</si>
  <si>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</si>
  <si>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</si>
  <si>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</si>
  <si>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</si>
  <si>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</si>
  <si>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</si>
  <si>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</si>
  <si>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</si>
  <si>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het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</si>
  <si>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</si>
  <si>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</si>
  <si>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</si>
  <si>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</si>
  <si>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</si>
  <si>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</si>
  <si>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</si>
  <si>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</si>
  <si>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</si>
  <si>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</si>
  <si>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</si>
  <si>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</si>
  <si>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</si>
  <si>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</si>
  <si>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</si>
  <si>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</si>
  <si>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</si>
  <si>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</si>
  <si>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</si>
  <si>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</si>
  <si>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</si>
  <si>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</si>
  <si>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</si>
  <si>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</si>
  <si>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</si>
  <si>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</si>
  <si>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</si>
  <si>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Volgnummer</t>
  </si>
  <si>
    <t>Richting</t>
  </si>
  <si>
    <t>Informatieobjecttype</t>
  </si>
  <si>
    <t>Inkomend</t>
  </si>
  <si>
    <t>Uitgaand</t>
  </si>
  <si>
    <t>Ontvangstbevestiging</t>
  </si>
  <si>
    <t>Bericht ander bevoegd gezag</t>
  </si>
  <si>
    <t>Adviesaanvraag</t>
  </si>
  <si>
    <t>Advies</t>
  </si>
  <si>
    <t>Bericht afhandelen informatieplicht</t>
  </si>
  <si>
    <t>Bericht niet-informatieplichtig</t>
  </si>
  <si>
    <t>Bericht van intrekking</t>
  </si>
  <si>
    <t>Bevestiging van intrekking</t>
  </si>
  <si>
    <t>Procesverantwoording</t>
  </si>
  <si>
    <t>Besluittype</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</si>
  <si>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</si>
  <si>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</si>
  <si>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</si>
  <si>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</si>
  <si>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</si>
  <si>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</si>
  <si>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</si>
  <si>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</si>
  <si>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</si>
  <si>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</si>
  <si>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</si>
  <si>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</si>
  <si>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</si>
  <si>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</si>
  <si>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</si>
  <si>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</si>
  <si>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</si>
  <si>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</si>
  <si>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</si>
  <si>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</si>
  <si>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DATUM BEGIN GELDGHEID</t>
  </si>
  <si>
    <t>Aanvaard</t>
  </si>
  <si>
    <t>gem</t>
  </si>
  <si>
    <t>Verleend</t>
  </si>
  <si>
    <t>11.1</t>
  </si>
  <si>
    <t>Vernietigen</t>
  </si>
  <si>
    <t>Vervaldatum van het procesobject</t>
  </si>
  <si>
    <t>De informatieplicht is aanvaard en geen van de specifieke aanvaard-resultaten is van toepassing.</t>
  </si>
  <si>
    <t>Aanvaard-bodenrg</t>
  </si>
  <si>
    <t>gesloten bodemsysteem</t>
  </si>
  <si>
    <t>11.1.17</t>
  </si>
  <si>
    <t>Blijvend bewaren</t>
  </si>
  <si>
    <t>Afgehandeld</t>
  </si>
  <si>
    <t>De informatieplicht is aanvaard voor een milieuactiviteit ivm gesloten bodemenergiesysteem</t>
  </si>
  <si>
    <t>Bericht afhandeling melding</t>
  </si>
  <si>
    <t>Aanvaard-bwst</t>
  </si>
  <si>
    <t>toepassing bouwstoffen</t>
  </si>
  <si>
    <t>11.1.4</t>
  </si>
  <si>
    <t>De informatieplicht is aanvaard betreffende bouwstoffenbesluit</t>
  </si>
  <si>
    <t>Aanvaard-tnk</t>
  </si>
  <si>
    <t>sanering tank</t>
  </si>
  <si>
    <t>11.1.16</t>
  </si>
  <si>
    <t>De informatieplicht is aanvaard betreffende sanering tank</t>
  </si>
  <si>
    <t>Aanvaard-actbesl</t>
  </si>
  <si>
    <t>activiteitenbesluit of 8.40 Wet milieubeheer, sloopmelding</t>
  </si>
  <si>
    <t>11.1.3</t>
  </si>
  <si>
    <t>De informatieplicht is aanvaard betreffende activiteitenbesluit of 8.40 Wet milieubeheer, sloopmelding</t>
  </si>
  <si>
    <t>Aanvaard-kort</t>
  </si>
  <si>
    <t>kortdurende activiteit of gebeurtenis.</t>
  </si>
  <si>
    <t>11.1.1</t>
  </si>
  <si>
    <t>De informatieplicht is aanvaard en betreft toestemming voor een kortdurende activiteit of gebeurtenis.</t>
  </si>
  <si>
    <t>Aanvaard-techbw</t>
  </si>
  <si>
    <t>technische bouwactiviteit (BAG)</t>
  </si>
  <si>
    <t>11.1.5</t>
  </si>
  <si>
    <t xml:space="preserve">De informatieplicht is aanvaard betreffende Omgevingswet of BBL, </t>
  </si>
  <si>
    <t>Niet Aanvaard</t>
  </si>
  <si>
    <t>Geweigerd</t>
  </si>
  <si>
    <t>11.2</t>
  </si>
  <si>
    <t>De informatieplicht is niet aanvaard omdat deze niet aan de indieningsvereisten voldoet.</t>
  </si>
  <si>
    <t>Niet informatieplichtig</t>
  </si>
  <si>
    <t>informatieplicht niet nodig</t>
  </si>
  <si>
    <t>Bericht niet-meldingplichtig</t>
  </si>
  <si>
    <t>Afgebroken</t>
  </si>
  <si>
    <t>11.4</t>
  </si>
  <si>
    <t>De informatieplicht is afgebroken. Deze is foutief ingeboekt, overgedragen aan een ander gezag of door de indiener ingetrokken.</t>
  </si>
  <si>
    <t>Geaccepteerd (P)</t>
  </si>
  <si>
    <t>prov</t>
  </si>
  <si>
    <t>Geaccepteerd</t>
  </si>
  <si>
    <t>Behandelen van een informatieplicht van het voornemen te ontgronden.</t>
  </si>
  <si>
    <t>Behandelen van een informatieplicht over het vellen van houtopstanden.</t>
  </si>
  <si>
    <t>Behandelen van een informatieplicht in het kader van uniforme bodemsaneringen.</t>
  </si>
  <si>
    <t>Behandelen van een informatieplicht van verontreiniging of aantasting van de bodem door handelingen alsmede het geven van aanwijzingen voor de te nemen maatregelen.</t>
  </si>
  <si>
    <t>Behandelen van een informatieplicht waarvoor in het kader van de Wet natuurbescherming in bepaalde gevallen verboden buiten toepassing zijn verklaard.</t>
  </si>
  <si>
    <t>Behandelen van een informatieplicht voor het tot ontbranding brengen van vuurwerk.</t>
  </si>
  <si>
    <t>Vervaldatum besluit</t>
  </si>
  <si>
    <t>Verlenen van toestemming voor het organiseren van evenementen in, aan of boven provinciale vaarwegen alsmede het behandelen van een informatieplicht daarover.</t>
  </si>
  <si>
    <t>Eigenschap</t>
  </si>
  <si>
    <t>Einddatum activiteit</t>
  </si>
  <si>
    <t>Behandelen van een informatieplicht tot het oprichten, wijzigen of uitbreiden van badinrichtingen alsmede het doen van mededeling hiervan aan het betrokken GS.</t>
  </si>
  <si>
    <t>Behandelen van een informatieplicht voor het saneren van de (water)bodem of het verminderen of verplaatsen van verontreiniging in de (water)bodem alsmede het beoordelen van de hierbij horende saneringsonderzoeken, -plannen en -verslagen en het vaststellen of sprake is van ernstige verontreiniging.</t>
  </si>
  <si>
    <t>Ingetrokken (P)</t>
  </si>
  <si>
    <t>Ingetrokken</t>
  </si>
  <si>
    <t>Bericht van intrekking
Bevestiging van intrekking</t>
  </si>
  <si>
    <t>Niet geaccepteerd (P)</t>
  </si>
  <si>
    <t>Niet geaccepteerd</t>
  </si>
  <si>
    <t>Ingangsdatum besluit</t>
  </si>
  <si>
    <t>ws</t>
  </si>
  <si>
    <t>2.4.1</t>
  </si>
  <si>
    <t>DEELZAAKTYPE</t>
  </si>
  <si>
    <t>GERELATEERD ZAAKTYPE</t>
  </si>
  <si>
    <t>AARD RELATIE</t>
  </si>
  <si>
    <t>11 - Aanvraag beschikking uitgebreid behandelen</t>
  </si>
  <si>
    <t>Onderwerp</t>
  </si>
  <si>
    <t>De zaak van het zaaktype 'Aanvraag beschikking uitgebreid behandelen' waarin als voorwaarde een informatieplicht is opgenomen die in onderhavige zaak wordt behandeld.</t>
  </si>
  <si>
    <t>10 - Aanvraag beschikking regulier behandelen</t>
  </si>
  <si>
    <t>De zaak van het zaaktype 'Aanvraag beschikking regulier behandelen' waarin als voorwaarde een informatieplicht is opgenomen die in onderhavige zaak wordt behandeld.</t>
  </si>
  <si>
    <t>1 - Advies verstrekken</t>
  </si>
  <si>
    <t>De zaak van het zaaktype 'Advies verstrekken' waarin een in- of externe specialist advies uitbrengt ten behoeve het opstellen van de bevindingen in onderhavige zaak.</t>
  </si>
  <si>
    <t>4 - Controle uitvoeren</t>
  </si>
  <si>
    <t>Vervolg</t>
  </si>
  <si>
    <t>De zaak van het zaaktype 'Controle uitvoeren' die wordt gepland naar aanleiding van een in onderhavige zaak geconstateerde overtreding. Doorgaans betreft de vervolgzaak een 'hercontrole' op locatie, maar indien de geconstateerde overtreding (alleen) kan worden beëindigd door het indienen van een melding of het aanvragen van een (omgevings)vergunning, wordt een 'administratieve controle' gepland om te verifiëren of de vereiste melding of aanvraag ook daadwerkelijk is ingediend.</t>
  </si>
  <si>
    <t>9 - Melding activiteit behandelen</t>
  </si>
  <si>
    <t>De zaak van het zaaktype 'Melding activiteit behandelen' waarin als voorwaarde een informatieplicht is opgenomen die in onderhavige zaak wordt behandeld.</t>
  </si>
  <si>
    <t>Het Activiteitenbesluit milieu (o.a. art. 2.1 lid 4 Activiteitenbesluit milieu) en de Omgevingswet (art. 4.5 Omgevingswet) bieden het bevoegd gezag de mogelijkheid maatwerkvoorschriften te verbinden aan (aspecten van) activiteiten. Indien de zaakbehandelende organisatie van deze mogelijkheid gebruik wenst te maken en de reguliere procedure volgt voor het opstellen daarvan, wordt daartoe een gerelateerde vervolgzaak van het zaaktype 'Aanvraag beschikking regulier behandelen' gestart.</t>
  </si>
  <si>
    <t>Het Activiteitenbesluit milieu (o.a. art. 2.1 lid 4 Activiteitenbesluit milieu) en de Omgevingswet (art. 4.5 Omgevingswet) bieden het bevoegd gezag de mogelijkheid maatwerkvoorschriften te verbinden aan (aspecten van) activiteiten. Indien de zaakbehandelende organisatie van deze mogelijkheid gebruik wenst te maken en de uitgebreide procedure volgt voor het opstellen daarvan, wordt daartoe een gerelateerde vervolgzaak van het zaaktype 'Aanvraag beschikking regulier behandelen' gestart.</t>
  </si>
  <si>
    <t>Voor de activiteit waarvoor de informatieplicht is gedaan, is geen informatieplicht van toepassing of moet een vergunning aangevraagd of melding ingediend worden.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</si>
</sst>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b/>
      <sz val="10"/>
      <color theme="1"/>
      <name val="Arial"/>
      <family val="2"/>
    </font>
    <font>
      <sz val="10"/>
      <name val="Arial"/>
      <family val="2"/>
    </font>
    <font>
      <b/>
      <sz val="10"/>
      <name val="Arial"/>
      <family val="2"/>
    </font>
    <font>
      <sz val="10"/>
      <color rgb="FF000000"/>
      <name val="Arial"/>
      <family val="2"/>
    </font>
    <font>
      <sz val="10"/>
      <color theme="1"/>
      <name val="Arial"/>
      <family val="2"/>
    </font>
    <font>
      <sz val="10"/>
      <color theme="1"/>
      <name val="Arial"/>
      <family val="2"/>
    </font>
    <font>
      <sz val="10"/>
      <color theme="1"/>
      <name val="Liberation Sans"/>
      <family val="2"/>
    </font>
    <font>
      <b/>
      <sz val="10"/>
      <color theme="1"/>
      <name val="Liberation Sans"/>
      <family val="2"/>
    </font>
    <font>
      <b/>
      <sz val="10"/>
      <name val="Liberation Sans"/>
      <family val="2"/>
    </font>
    <font>
      <sz val="10"/>
      <name val="Liberation Sans"/>
      <family val="2"/>
    </font>
    <font>
      <u/>
      <sz val="10"/>
      <name val="Liberation Sans"/>
      <family val="2"/>
    </font>
    <font>
      <strike/>
      <sz val="10"/>
      <name val="Arial"/>
      <family val="2"/>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0" tint="-0.14999847407452621"/>
        <bgColor indexed="64"/>
      </patternFill>
    </fill>
  </fills>
  <borders count="4">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
      <left/>
      <right/>
      <top/>
      <bottom style="thin">
        <color rgb="FF000000"/>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55">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quotePrefix="1" applyFont="1" applyAlignment="1">
      <alignment horizontal="left" vertical="top" wrapText="1"/>
    </xf>
    <xf numFmtId="0" fontId="17" fillId="0" borderId="0" xfId="0" quotePrefix="1" applyFont="1" applyAlignment="1">
      <alignment horizontal="left" vertical="top" wrapText="1"/>
    </xf>
    <xf numFmtId="0" fontId="16" fillId="0" borderId="0" xfId="0" applyFont="1" applyAlignment="1">
      <alignment wrapText="1"/>
    </xf>
    <xf numFmtId="14" fontId="16" fillId="0" borderId="0" xfId="0" applyNumberFormat="1" applyFont="1" applyAlignment="1">
      <alignment wrapText="1"/>
    </xf>
    <xf numFmtId="0" fontId="18" fillId="0" borderId="0" xfId="0" applyFont="1" applyAlignment="1">
      <alignment wrapText="1"/>
    </xf>
    <xf numFmtId="0" fontId="17" fillId="0" borderId="0" xfId="0" applyFont="1" applyAlignment="1">
      <alignment wrapText="1"/>
    </xf>
    <xf numFmtId="0" fontId="16" fillId="0" borderId="0" xfId="0" applyFont="1" applyAlignment="1">
      <alignment horizontal="left" wrapText="1"/>
    </xf>
    <xf numFmtId="0" fontId="19" fillId="0" borderId="0" xfId="0" applyFont="1" applyAlignment="1">
      <alignment horizontal="left" vertical="top" wrapText="1"/>
    </xf>
    <xf numFmtId="0" fontId="17" fillId="0" borderId="0" xfId="0" applyFont="1" applyAlignment="1">
      <alignment horizontal="left" vertical="center" wrapText="1"/>
    </xf>
    <xf numFmtId="14" fontId="19" fillId="0" borderId="0" xfId="0" applyNumberFormat="1" applyFont="1" applyAlignment="1">
      <alignment horizontal="left" vertical="top"/>
    </xf>
    <xf numFmtId="0" fontId="15" fillId="0" borderId="0" xfId="0" applyFont="1" applyAlignment="1">
      <alignment horizontal="left" vertical="top"/>
    </xf>
    <xf numFmtId="0" fontId="21" fillId="0" borderId="0" xfId="0" applyFont="1" applyAlignment="1">
      <alignment vertical="top"/>
    </xf>
    <xf numFmtId="0" fontId="20" fillId="0" borderId="0" xfId="0" applyFont="1" applyAlignment="1">
      <alignment horizontal="left" vertical="top" wrapText="1"/>
    </xf>
    <xf numFmtId="0" fontId="21" fillId="0" borderId="0" xfId="0" applyFont="1" applyAlignment="1">
      <alignment vertical="top" wrapText="1"/>
    </xf>
    <xf numFmtId="0" fontId="19" fillId="0" borderId="0" xfId="0" applyFont="1" applyAlignment="1">
      <alignment horizontal="left" vertical="top"/>
    </xf>
    <xf numFmtId="0" fontId="15" fillId="0" borderId="0" xfId="0" applyFont="1" applyAlignment="1">
      <alignment vertical="top"/>
    </xf>
    <xf numFmtId="0" fontId="22" fillId="0" borderId="0" xfId="0" applyFont="1" applyAlignment="1">
      <alignment vertical="top" wrapText="1"/>
    </xf>
    <xf numFmtId="0" fontId="17" fillId="0" borderId="0" xfId="0" applyFont="1" applyAlignment="1">
      <alignment horizontal="left" vertical="top"/>
    </xf>
    <xf numFmtId="0" fontId="23" fillId="0" borderId="0" xfId="0" applyFont="1" applyAlignment="1">
      <alignment vertical="top"/>
    </xf>
    <xf numFmtId="0" fontId="24" fillId="0" borderId="0" xfId="0" applyFont="1" applyAlignment="1">
      <alignment vertical="top" wrapText="1"/>
    </xf>
    <xf numFmtId="0" fontId="17" fillId="0" borderId="0" xfId="0" applyFont="1" applyAlignment="1">
      <alignment vertical="top"/>
    </xf>
    <xf numFmtId="0" fontId="16" fillId="0" borderId="0" xfId="0" applyFont="1" applyAlignment="1">
      <alignment horizontal="left" vertical="top"/>
    </xf>
    <xf numFmtId="0" fontId="24" fillId="0" borderId="0" xfId="0" applyFont="1" applyAlignment="1">
      <alignment vertical="top"/>
    </xf>
    <xf numFmtId="0" fontId="17" fillId="9" borderId="0" xfId="0" applyFont="1" applyFill="1" applyAlignment="1">
      <alignment horizontal="left" vertical="top"/>
    </xf>
    <xf numFmtId="0" fontId="15" fillId="0" borderId="0" xfId="0" applyFont="1" applyAlignment="1">
      <alignment vertical="top" wrapText="1"/>
    </xf>
    <xf numFmtId="0" fontId="25" fillId="0" borderId="0" xfId="12" applyFont="1"/>
    <xf numFmtId="0" fontId="24" fillId="0" borderId="0" xfId="0" applyFont="1" applyAlignment="1">
      <alignment horizontal="left" vertical="top" wrapText="1"/>
    </xf>
    <xf numFmtId="14" fontId="16" fillId="0" borderId="0" xfId="0" applyNumberFormat="1" applyFont="1" applyAlignment="1">
      <alignment horizontal="left" vertical="top"/>
    </xf>
    <xf numFmtId="0" fontId="26" fillId="0" borderId="0" xfId="0" applyFont="1" applyAlignment="1">
      <alignment horizontal="left" vertical="top" wrapText="1"/>
    </xf>
    <xf numFmtId="0" fontId="16" fillId="0" borderId="0" xfId="0" applyFont="1" applyAlignment="1">
      <alignment vertical="top"/>
    </xf>
    <xf numFmtId="0" fontId="17" fillId="0" borderId="2" xfId="0" applyFont="1" applyBorder="1" applyAlignment="1">
      <alignment vertical="top"/>
    </xf>
    <xf numFmtId="0" fontId="17" fillId="0" borderId="2" xfId="0" applyFont="1" applyBorder="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6" fillId="0" borderId="2" xfId="0" applyFont="1" applyBorder="1" applyAlignment="1">
      <alignment horizontal="left" vertical="top" wrapText="1"/>
    </xf>
    <xf numFmtId="0" fontId="16" fillId="0" borderId="2" xfId="0" applyFont="1" applyBorder="1" applyAlignment="1">
      <alignment vertical="top" wrapText="1"/>
    </xf>
    <xf numFmtId="0" fontId="16" fillId="0" borderId="3" xfId="0" applyFont="1" applyBorder="1" applyAlignment="1">
      <alignment horizontal="left" vertical="top" wrapText="1"/>
    </xf>
    <xf numFmtId="0" fontId="16" fillId="0" borderId="3" xfId="0" applyFont="1" applyBorder="1" applyAlignment="1">
      <alignment vertical="top" wrapText="1"/>
    </xf>
    <xf numFmtId="0" fontId="16" fillId="0" borderId="0" xfId="0" applyFont="1" applyFill="1" applyAlignment="1">
      <alignment horizontal="left" vertical="top" wrapText="1"/>
    </xf>
    <xf numFmtId="14" fontId="16" fillId="0" borderId="0" xfId="0" applyNumberFormat="1" applyFont="1" applyFill="1" applyAlignment="1">
      <alignment horizontal="left" vertical="top"/>
    </xf>
    <xf numFmtId="0" fontId="24" fillId="0" borderId="0" xfId="0" applyFont="1" applyFill="1" applyAlignment="1">
      <alignment vertical="top" wrapText="1"/>
    </xf>
    <xf numFmtId="0" fontId="17" fillId="0" borderId="0" xfId="0" applyFont="1" applyFill="1" applyAlignment="1">
      <alignment horizontal="left" vertical="top"/>
    </xf>
    <xf numFmtId="0" fontId="16" fillId="0" borderId="0" xfId="0" applyFont="1" applyFill="1" applyAlignment="1">
      <alignment horizontal="left" vertical="top"/>
    </xf>
    <xf numFmtId="0" fontId="24" fillId="0" borderId="0" xfId="0" applyFont="1" applyFill="1" applyAlignment="1">
      <alignment vertical="top"/>
    </xf>
    <xf numFmtId="0" fontId="17" fillId="0" borderId="0" xfId="0" applyFont="1" applyFill="1" applyAlignment="1">
      <alignment horizontal="left" vertical="top" wrapText="1"/>
    </xf>
    <xf numFmtId="0" fontId="16" fillId="0" borderId="0" xfId="0" applyFont="1" applyFill="1" applyAlignment="1">
      <alignment wrapText="1"/>
    </xf>
    <xf numFmtId="0" fontId="16" fillId="0" borderId="0" xfId="0" applyFont="1" applyFill="1" applyAlignment="1">
      <alignment horizontal="right" vertical="top" wrapText="1"/>
    </xf>
    <xf numFmtId="0" fontId="23" fillId="0" borderId="0" xfId="0" applyFont="1" applyFill="1" applyAlignment="1">
      <alignment vertical="top"/>
    </xf>
    <xf numFmtId="0" fontId="23" fillId="0" borderId="0" xfId="0" applyFont="1" applyFill="1" applyAlignment="1">
      <alignment vertical="top" wrapText="1"/>
    </xf>
    <xf numFmtId="0" fontId="16" fillId="0" borderId="0" xfId="0" applyFont="1" applyFill="1" applyAlignment="1">
      <alignment vertical="top" wrapText="1"/>
    </xf>
    <xf numFmtId="0" fontId="26" fillId="0" borderId="0" xfId="0" applyFont="1" applyFill="1" applyAlignment="1">
      <alignment horizontal="lef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emmaonline.nl/wiki?title=Uitwerking_bedrijfsproces&amp;proces=Omgevingswet/id-ec3e309d-1a85-4788-bd36-14df42c33e7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H45"/>
  <sheetViews>
    <sheetView tabSelected="1" workbookViewId="0">
      <pane xSplit="1" ySplit="2" topLeftCell="B3" activePane="bottomRight" state="frozen"/>
      <selection pane="topRight" activeCell="A39" sqref="A39:B47"/>
      <selection pane="bottomLeft" activeCell="A39" sqref="A39:B47"/>
      <selection pane="bottomRight" activeCell="A3" sqref="A3"/>
    </sheetView>
  </sheetViews>
  <sheetFormatPr defaultColWidth="8.75" defaultRowHeight="12.75" x14ac:dyDescent="0.2"/>
  <cols>
    <col min="1" max="1" width="50.125" style="2" customWidth="1"/>
    <col min="2" max="2" width="96.75" style="2" customWidth="1"/>
    <col min="3" max="1022" width="78.25" style="2" customWidth="1"/>
    <col min="1023" max="16384" width="8.75" style="23"/>
  </cols>
  <sheetData>
    <row r="1" spans="1:2" s="22" customFormat="1" x14ac:dyDescent="0.2">
      <c r="A1" s="27" t="str">
        <f>CONCATENATE("Zaaktype ",B3,": ",B4)</f>
        <v>Zaaktype 22: Informatieplicht verwerken</v>
      </c>
      <c r="B1" s="27"/>
    </row>
    <row r="2" spans="1:2" x14ac:dyDescent="0.2">
      <c r="A2" s="3" t="s">
        <v>0</v>
      </c>
      <c r="B2" s="3" t="s">
        <v>1</v>
      </c>
    </row>
    <row r="3" spans="1:2" x14ac:dyDescent="0.2">
      <c r="A3" s="3" t="s">
        <v>2</v>
      </c>
      <c r="B3" s="12">
        <v>22</v>
      </c>
    </row>
    <row r="4" spans="1:2" x14ac:dyDescent="0.2">
      <c r="A4" s="3" t="s">
        <v>3</v>
      </c>
      <c r="B4" s="9" t="s">
        <v>4</v>
      </c>
    </row>
    <row r="5" spans="1:2" x14ac:dyDescent="0.2">
      <c r="A5" s="3" t="s">
        <v>5</v>
      </c>
      <c r="B5" s="6" t="s">
        <v>6</v>
      </c>
    </row>
    <row r="6" spans="1:2" x14ac:dyDescent="0.2">
      <c r="A6" s="3" t="s">
        <v>7</v>
      </c>
      <c r="B6" s="6" t="s">
        <v>8</v>
      </c>
    </row>
    <row r="7" spans="1:2" ht="30" customHeight="1" x14ac:dyDescent="0.2">
      <c r="A7" s="3" t="s">
        <v>9</v>
      </c>
      <c r="B7" s="6" t="s">
        <v>10</v>
      </c>
    </row>
    <row r="8" spans="1:2" ht="51" x14ac:dyDescent="0.2">
      <c r="A8" s="3" t="s">
        <v>11</v>
      </c>
      <c r="B8" s="6" t="s">
        <v>12</v>
      </c>
    </row>
    <row r="9" spans="1:2" x14ac:dyDescent="0.2">
      <c r="A9" s="3" t="s">
        <v>13</v>
      </c>
      <c r="B9" s="6" t="s">
        <v>14</v>
      </c>
    </row>
    <row r="10" spans="1:2" x14ac:dyDescent="0.2">
      <c r="A10" s="3" t="s">
        <v>15</v>
      </c>
      <c r="B10" s="6" t="s">
        <v>16</v>
      </c>
    </row>
    <row r="11" spans="1:2" x14ac:dyDescent="0.2">
      <c r="A11" s="3" t="s">
        <v>17</v>
      </c>
      <c r="B11" s="6" t="s">
        <v>18</v>
      </c>
    </row>
    <row r="12" spans="1:2" x14ac:dyDescent="0.2">
      <c r="A12" s="3" t="s">
        <v>19</v>
      </c>
      <c r="B12" s="6" t="s">
        <v>20</v>
      </c>
    </row>
    <row r="13" spans="1:2" x14ac:dyDescent="0.2">
      <c r="A13" s="3" t="s">
        <v>21</v>
      </c>
      <c r="B13" s="6"/>
    </row>
    <row r="14" spans="1:2" x14ac:dyDescent="0.2">
      <c r="A14" s="4" t="s">
        <v>22</v>
      </c>
      <c r="B14" s="6"/>
    </row>
    <row r="15" spans="1:2" x14ac:dyDescent="0.2">
      <c r="A15" s="4" t="s">
        <v>23</v>
      </c>
      <c r="B15" s="6"/>
    </row>
    <row r="16" spans="1:2" x14ac:dyDescent="0.2">
      <c r="A16" s="3" t="s">
        <v>24</v>
      </c>
      <c r="B16" s="10">
        <v>28</v>
      </c>
    </row>
    <row r="17" spans="1:2" x14ac:dyDescent="0.2">
      <c r="A17" s="4" t="s">
        <v>22</v>
      </c>
      <c r="B17" s="6" t="s">
        <v>25</v>
      </c>
    </row>
    <row r="18" spans="1:2" x14ac:dyDescent="0.2">
      <c r="A18" s="4" t="s">
        <v>23</v>
      </c>
      <c r="B18" s="10">
        <v>4</v>
      </c>
    </row>
    <row r="19" spans="1:2" x14ac:dyDescent="0.2">
      <c r="A19" s="3" t="s">
        <v>26</v>
      </c>
      <c r="B19" s="6" t="s">
        <v>27</v>
      </c>
    </row>
    <row r="20" spans="1:2" x14ac:dyDescent="0.2">
      <c r="A20" s="3" t="s">
        <v>28</v>
      </c>
      <c r="B20" s="6" t="s">
        <v>27</v>
      </c>
    </row>
    <row r="21" spans="1:2" x14ac:dyDescent="0.2">
      <c r="A21" s="3" t="s">
        <v>29</v>
      </c>
      <c r="B21" s="6"/>
    </row>
    <row r="22" spans="1:2" x14ac:dyDescent="0.2">
      <c r="A22" s="3" t="s">
        <v>30</v>
      </c>
      <c r="B22" s="6"/>
    </row>
    <row r="23" spans="1:2" x14ac:dyDescent="0.2">
      <c r="A23" s="3" t="s">
        <v>31</v>
      </c>
      <c r="B23" s="6" t="s">
        <v>32</v>
      </c>
    </row>
    <row r="24" spans="1:2" x14ac:dyDescent="0.2">
      <c r="A24" s="3" t="s">
        <v>33</v>
      </c>
      <c r="B24" s="6"/>
    </row>
    <row r="25" spans="1:2" x14ac:dyDescent="0.2">
      <c r="A25" s="3" t="s">
        <v>34</v>
      </c>
      <c r="B25" s="6" t="s">
        <v>35</v>
      </c>
    </row>
    <row r="26" spans="1:2" x14ac:dyDescent="0.2">
      <c r="A26" s="3" t="s">
        <v>36</v>
      </c>
      <c r="B26" s="6"/>
    </row>
    <row r="27" spans="1:2" x14ac:dyDescent="0.2">
      <c r="A27" s="3" t="s">
        <v>37</v>
      </c>
      <c r="B27" s="6"/>
    </row>
    <row r="28" spans="1:2" ht="344.25" x14ac:dyDescent="0.2">
      <c r="A28" s="5" t="s">
        <v>38</v>
      </c>
      <c r="B28" s="6" t="s">
        <v>39</v>
      </c>
    </row>
    <row r="29" spans="1:2" x14ac:dyDescent="0.2">
      <c r="A29" s="5" t="s">
        <v>40</v>
      </c>
    </row>
    <row r="30" spans="1:2" x14ac:dyDescent="0.2">
      <c r="A30" s="5" t="s">
        <v>41</v>
      </c>
      <c r="B30" s="6"/>
    </row>
    <row r="31" spans="1:2" x14ac:dyDescent="0.2">
      <c r="A31" s="5" t="s">
        <v>38</v>
      </c>
      <c r="B31" s="6" t="s">
        <v>42</v>
      </c>
    </row>
    <row r="32" spans="1:2" x14ac:dyDescent="0.2">
      <c r="A32" s="5" t="s">
        <v>40</v>
      </c>
      <c r="B32" s="29" t="s">
        <v>43</v>
      </c>
    </row>
    <row r="33" spans="1:2" x14ac:dyDescent="0.2">
      <c r="A33" s="2" t="s">
        <v>44</v>
      </c>
      <c r="B33" s="6"/>
    </row>
    <row r="34" spans="1:2" x14ac:dyDescent="0.2">
      <c r="A34" s="2" t="s">
        <v>45</v>
      </c>
      <c r="B34" s="6"/>
    </row>
    <row r="35" spans="1:2" x14ac:dyDescent="0.2">
      <c r="A35" s="4" t="s">
        <v>46</v>
      </c>
      <c r="B35" s="6"/>
    </row>
    <row r="36" spans="1:2" x14ac:dyDescent="0.2">
      <c r="A36" s="5" t="s">
        <v>47</v>
      </c>
      <c r="B36" s="6"/>
    </row>
    <row r="37" spans="1:2" x14ac:dyDescent="0.2">
      <c r="A37" s="4" t="s">
        <v>48</v>
      </c>
      <c r="B37" s="6"/>
    </row>
    <row r="38" spans="1:2" x14ac:dyDescent="0.2">
      <c r="A38" s="4" t="s">
        <v>49</v>
      </c>
      <c r="B38" s="6"/>
    </row>
    <row r="39" spans="1:2" x14ac:dyDescent="0.2">
      <c r="A39" s="4" t="s">
        <v>38</v>
      </c>
      <c r="B39" s="6"/>
    </row>
    <row r="40" spans="1:2" x14ac:dyDescent="0.2">
      <c r="A40" s="4" t="s">
        <v>50</v>
      </c>
      <c r="B40" s="6"/>
    </row>
    <row r="41" spans="1:2" x14ac:dyDescent="0.2">
      <c r="A41" s="4" t="s">
        <v>51</v>
      </c>
      <c r="B41" s="6"/>
    </row>
    <row r="42" spans="1:2" x14ac:dyDescent="0.2">
      <c r="A42" s="4" t="s">
        <v>52</v>
      </c>
      <c r="B42" s="6"/>
    </row>
    <row r="43" spans="1:2" x14ac:dyDescent="0.2">
      <c r="A43" s="3" t="s">
        <v>53</v>
      </c>
      <c r="B43" s="13">
        <v>45849</v>
      </c>
    </row>
    <row r="44" spans="1:2" x14ac:dyDescent="0.2">
      <c r="A44" s="3" t="s">
        <v>54</v>
      </c>
      <c r="B44" s="13">
        <v>44607</v>
      </c>
    </row>
    <row r="45" spans="1:2" x14ac:dyDescent="0.2">
      <c r="A45" s="3" t="s">
        <v>55</v>
      </c>
    </row>
  </sheetData>
  <hyperlinks>
    <hyperlink ref="B32" r:id="rId1" xr:uid="{1853A587-4A7C-49F6-9D0C-C48C10528DC1}"/>
  </hyperlinks>
  <pageMargins left="0" right="0" top="0.39370078740157483" bottom="0.39370078740157483" header="0" footer="0"/>
  <pageSetup paperSize="9" orientation="portrait" r:id="rId2"/>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O6"/>
  <sheetViews>
    <sheetView zoomScaleNormal="100" workbookViewId="0">
      <pane xSplit="2" ySplit="2" topLeftCell="C3" activePane="bottomRight" state="frozen"/>
      <selection pane="topRight" activeCell="A39" sqref="A39:B47"/>
      <selection pane="bottomLeft" activeCell="A39" sqref="A39:B47"/>
      <selection pane="bottomRight" activeCell="B2" sqref="B2"/>
    </sheetView>
  </sheetViews>
  <sheetFormatPr defaultColWidth="8.75" defaultRowHeight="12.75" x14ac:dyDescent="0.2"/>
  <cols>
    <col min="1" max="1" width="7.75" style="2" customWidth="1"/>
    <col min="2" max="2" width="29.375" style="2" customWidth="1"/>
    <col min="3" max="4" width="13.5" style="2" customWidth="1"/>
    <col min="5" max="6" width="12.875" style="2" customWidth="1"/>
    <col min="7" max="7" width="44.125" style="2" customWidth="1"/>
    <col min="8" max="10" width="25.875" style="2" customWidth="1"/>
    <col min="11" max="11" width="12.25" style="2" customWidth="1"/>
    <col min="12" max="1029" width="29.375" style="2" customWidth="1"/>
    <col min="1030" max="16384" width="8.75" style="23"/>
  </cols>
  <sheetData>
    <row r="1" spans="1:11" s="26" customFormat="1" x14ac:dyDescent="0.2">
      <c r="A1" s="21" t="str">
        <f>CONCATENATE("Statustypen bij zaaktype ",Zaaktype!B3,": ",Zaaktype!B4)</f>
        <v>Statustypen bij zaaktype 22: Informatieplicht verwerken</v>
      </c>
      <c r="B1" s="25"/>
      <c r="C1" s="25"/>
      <c r="D1" s="25"/>
      <c r="E1" s="25"/>
      <c r="F1" s="25"/>
      <c r="G1" s="25"/>
      <c r="H1" s="25"/>
      <c r="I1" s="25"/>
      <c r="J1" s="25"/>
      <c r="K1" s="25"/>
    </row>
    <row r="2" spans="1:11" s="23" customFormat="1" ht="25.5" x14ac:dyDescent="0.2">
      <c r="A2" s="3" t="s">
        <v>56</v>
      </c>
      <c r="B2" s="3" t="s">
        <v>57</v>
      </c>
      <c r="C2" s="3" t="s">
        <v>58</v>
      </c>
      <c r="D2" s="3" t="s">
        <v>59</v>
      </c>
      <c r="E2" s="3" t="s">
        <v>60</v>
      </c>
      <c r="F2" s="3" t="s">
        <v>61</v>
      </c>
      <c r="G2" s="3" t="s">
        <v>62</v>
      </c>
      <c r="H2" s="3" t="s">
        <v>63</v>
      </c>
      <c r="I2" s="3" t="s">
        <v>64</v>
      </c>
      <c r="J2" s="3" t="s">
        <v>65</v>
      </c>
      <c r="K2" s="3" t="s">
        <v>66</v>
      </c>
    </row>
    <row r="3" spans="1:11" s="23" customFormat="1" ht="38.25" x14ac:dyDescent="0.2">
      <c r="A3" s="30">
        <v>1</v>
      </c>
      <c r="B3" s="2" t="s">
        <v>67</v>
      </c>
      <c r="C3" s="2">
        <v>0</v>
      </c>
      <c r="D3" s="2" t="s">
        <v>68</v>
      </c>
      <c r="E3" s="2" t="s">
        <v>35</v>
      </c>
      <c r="F3" s="2"/>
      <c r="G3" s="2" t="s">
        <v>69</v>
      </c>
      <c r="H3" s="2" t="s">
        <v>70</v>
      </c>
      <c r="I3" s="2"/>
      <c r="J3" s="2"/>
      <c r="K3" s="31">
        <v>44607</v>
      </c>
    </row>
    <row r="4" spans="1:11" s="23" customFormat="1" ht="89.25" x14ac:dyDescent="0.2">
      <c r="A4" s="30">
        <v>2</v>
      </c>
      <c r="B4" s="2" t="s">
        <v>71</v>
      </c>
      <c r="C4" s="2">
        <v>2</v>
      </c>
      <c r="D4" s="2" t="s">
        <v>68</v>
      </c>
      <c r="E4" s="2" t="s">
        <v>72</v>
      </c>
      <c r="F4" s="2"/>
      <c r="G4" s="2" t="s">
        <v>73</v>
      </c>
      <c r="H4" s="32"/>
      <c r="I4" s="2"/>
      <c r="J4" s="2"/>
      <c r="K4" s="31">
        <v>44607</v>
      </c>
    </row>
    <row r="5" spans="1:11" s="23" customFormat="1" ht="76.5" x14ac:dyDescent="0.2">
      <c r="A5" s="30">
        <v>3</v>
      </c>
      <c r="B5" s="2" t="s">
        <v>74</v>
      </c>
      <c r="C5" s="2">
        <v>24</v>
      </c>
      <c r="D5" s="2" t="s">
        <v>68</v>
      </c>
      <c r="E5" s="2" t="s">
        <v>35</v>
      </c>
      <c r="F5" s="2"/>
      <c r="G5" s="2" t="s">
        <v>75</v>
      </c>
      <c r="H5" s="2"/>
      <c r="I5" s="2"/>
      <c r="J5" s="2"/>
      <c r="K5" s="31">
        <v>44607</v>
      </c>
    </row>
    <row r="6" spans="1:11" s="23" customFormat="1" ht="138.75" customHeight="1" x14ac:dyDescent="0.2">
      <c r="A6" s="30">
        <v>4</v>
      </c>
      <c r="B6" s="2" t="s">
        <v>76</v>
      </c>
      <c r="C6" s="2">
        <v>2</v>
      </c>
      <c r="D6" s="2" t="s">
        <v>68</v>
      </c>
      <c r="E6" s="2" t="s">
        <v>72</v>
      </c>
      <c r="F6" s="2"/>
      <c r="G6" s="2" t="s">
        <v>77</v>
      </c>
      <c r="H6" s="2"/>
      <c r="I6" s="2"/>
      <c r="J6" s="2"/>
      <c r="K6" s="31">
        <v>44607</v>
      </c>
    </row>
  </sheetData>
  <pageMargins left="0" right="0" top="0.39370078740157483" bottom="0.39370078740157483" header="0" footer="0"/>
  <pageSetup paperSize="9" scale="48" orientation="landscape" horizontalDpi="4294967293" verticalDpi="0"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C84A2-FD7E-4928-B361-A9A29732574F}">
  <dimension ref="A1:F15"/>
  <sheetViews>
    <sheetView workbookViewId="0">
      <pane xSplit="3" ySplit="2" topLeftCell="D3" activePane="bottomRight" state="frozen"/>
      <selection pane="topRight" activeCell="A39" sqref="A39:B47"/>
      <selection pane="bottomLeft" activeCell="A39" sqref="A39:B47"/>
      <selection pane="bottomRight" activeCell="D4" sqref="D4"/>
    </sheetView>
  </sheetViews>
  <sheetFormatPr defaultColWidth="8.75" defaultRowHeight="12.75" x14ac:dyDescent="0.2"/>
  <cols>
    <col min="1" max="1" width="4.625" style="36" customWidth="1"/>
    <col min="2" max="2" width="24" style="36" bestFit="1" customWidth="1"/>
    <col min="3" max="3" width="23.25" style="36" customWidth="1"/>
    <col min="4" max="4" width="44" style="36" customWidth="1"/>
    <col min="5" max="5" width="8.75" style="36"/>
    <col min="6" max="6" width="61.5" style="36" customWidth="1"/>
    <col min="7" max="16384" width="8.75" style="36"/>
  </cols>
  <sheetData>
    <row r="1" spans="1:6" s="33" customFormat="1" x14ac:dyDescent="0.2">
      <c r="A1" s="24" t="str">
        <f>CONCATENATE("Checklistst bij zaaktype ",Zaaktype!B3,": ",Zaaktype!B4)</f>
        <v>Checklistst bij zaaktype 22: Informatieplicht verwerken</v>
      </c>
    </row>
    <row r="2" spans="1:6" x14ac:dyDescent="0.2">
      <c r="A2" s="34" t="s">
        <v>78</v>
      </c>
      <c r="B2" s="35"/>
      <c r="C2" s="35" t="s">
        <v>79</v>
      </c>
      <c r="D2" s="35" t="s">
        <v>80</v>
      </c>
      <c r="E2" s="35" t="s">
        <v>81</v>
      </c>
      <c r="F2" s="35" t="s">
        <v>62</v>
      </c>
    </row>
    <row r="3" spans="1:6" ht="63.75" x14ac:dyDescent="0.2">
      <c r="A3" s="3" t="s">
        <v>82</v>
      </c>
      <c r="B3" s="37" t="s">
        <v>67</v>
      </c>
      <c r="C3" s="36" t="s">
        <v>83</v>
      </c>
      <c r="D3" s="36" t="s">
        <v>84</v>
      </c>
      <c r="E3" s="36" t="s">
        <v>35</v>
      </c>
      <c r="F3" s="36" t="s">
        <v>85</v>
      </c>
    </row>
    <row r="4" spans="1:6" ht="51" x14ac:dyDescent="0.2">
      <c r="A4" s="38" t="s">
        <v>82</v>
      </c>
      <c r="B4" s="39" t="s">
        <v>67</v>
      </c>
      <c r="C4" s="39" t="s">
        <v>86</v>
      </c>
      <c r="D4" s="39" t="s">
        <v>87</v>
      </c>
      <c r="E4" s="39" t="s">
        <v>72</v>
      </c>
      <c r="F4" s="39" t="s">
        <v>88</v>
      </c>
    </row>
    <row r="5" spans="1:6" ht="51" x14ac:dyDescent="0.2">
      <c r="A5" s="3" t="s">
        <v>89</v>
      </c>
      <c r="B5" s="37" t="s">
        <v>71</v>
      </c>
      <c r="C5" s="36" t="s">
        <v>90</v>
      </c>
      <c r="D5" s="36" t="s">
        <v>91</v>
      </c>
      <c r="E5" s="36" t="s">
        <v>72</v>
      </c>
      <c r="F5" s="36" t="s">
        <v>92</v>
      </c>
    </row>
    <row r="6" spans="1:6" ht="38.25" x14ac:dyDescent="0.2">
      <c r="A6" s="40">
        <v>2</v>
      </c>
      <c r="B6" s="41" t="s">
        <v>71</v>
      </c>
      <c r="C6" s="41" t="s">
        <v>93</v>
      </c>
      <c r="D6" s="41" t="s">
        <v>94</v>
      </c>
      <c r="E6" s="41" t="s">
        <v>35</v>
      </c>
      <c r="F6" s="41" t="s">
        <v>95</v>
      </c>
    </row>
    <row r="7" spans="1:6" ht="51" x14ac:dyDescent="0.2">
      <c r="A7" s="3">
        <v>3</v>
      </c>
      <c r="B7" s="37" t="s">
        <v>74</v>
      </c>
      <c r="C7" s="36" t="s">
        <v>96</v>
      </c>
      <c r="D7" s="36" t="s">
        <v>97</v>
      </c>
      <c r="E7" s="36" t="s">
        <v>72</v>
      </c>
      <c r="F7" s="36" t="s">
        <v>98</v>
      </c>
    </row>
    <row r="8" spans="1:6" ht="38.25" x14ac:dyDescent="0.2">
      <c r="A8" s="2">
        <v>3</v>
      </c>
      <c r="B8" s="36" t="s">
        <v>74</v>
      </c>
      <c r="C8" s="36" t="s">
        <v>99</v>
      </c>
      <c r="D8" s="36" t="s">
        <v>100</v>
      </c>
      <c r="E8" s="36" t="s">
        <v>72</v>
      </c>
      <c r="F8" s="36" t="s">
        <v>101</v>
      </c>
    </row>
    <row r="9" spans="1:6" ht="25.5" x14ac:dyDescent="0.2">
      <c r="A9" s="2">
        <v>3</v>
      </c>
      <c r="B9" s="36" t="s">
        <v>74</v>
      </c>
      <c r="C9" s="36" t="s">
        <v>102</v>
      </c>
      <c r="D9" s="36" t="s">
        <v>103</v>
      </c>
      <c r="E9" s="36" t="s">
        <v>72</v>
      </c>
      <c r="F9" s="36" t="s">
        <v>104</v>
      </c>
    </row>
    <row r="10" spans="1:6" x14ac:dyDescent="0.2">
      <c r="A10" s="40">
        <v>3</v>
      </c>
      <c r="B10" s="41" t="s">
        <v>74</v>
      </c>
      <c r="C10" s="39" t="s">
        <v>105</v>
      </c>
      <c r="D10" s="39" t="s">
        <v>106</v>
      </c>
      <c r="E10" s="39" t="s">
        <v>72</v>
      </c>
      <c r="F10" s="39" t="s">
        <v>107</v>
      </c>
    </row>
    <row r="11" spans="1:6" ht="63.75" x14ac:dyDescent="0.2">
      <c r="A11" s="3">
        <v>4</v>
      </c>
      <c r="B11" s="37" t="s">
        <v>76</v>
      </c>
      <c r="C11" s="36" t="s">
        <v>108</v>
      </c>
      <c r="D11" s="36" t="s">
        <v>109</v>
      </c>
      <c r="E11" s="36" t="s">
        <v>35</v>
      </c>
      <c r="F11" s="36" t="s">
        <v>110</v>
      </c>
    </row>
    <row r="12" spans="1:6" ht="38.25" x14ac:dyDescent="0.2">
      <c r="A12" s="2">
        <v>4</v>
      </c>
      <c r="B12" s="36" t="s">
        <v>76</v>
      </c>
      <c r="C12" s="36" t="s">
        <v>111</v>
      </c>
      <c r="D12" s="36" t="s">
        <v>112</v>
      </c>
      <c r="E12" s="36" t="s">
        <v>35</v>
      </c>
      <c r="F12" s="36" t="s">
        <v>113</v>
      </c>
    </row>
    <row r="13" spans="1:6" ht="25.5" x14ac:dyDescent="0.2">
      <c r="A13" s="2">
        <v>4</v>
      </c>
      <c r="B13" s="36" t="s">
        <v>76</v>
      </c>
      <c r="C13" s="36" t="s">
        <v>114</v>
      </c>
      <c r="D13" s="36" t="s">
        <v>115</v>
      </c>
      <c r="E13" s="36" t="s">
        <v>35</v>
      </c>
      <c r="F13" s="36" t="s">
        <v>116</v>
      </c>
    </row>
    <row r="14" spans="1:6" ht="25.5" x14ac:dyDescent="0.2">
      <c r="A14" s="2">
        <v>4</v>
      </c>
      <c r="B14" s="36" t="s">
        <v>76</v>
      </c>
      <c r="C14" s="36" t="s">
        <v>117</v>
      </c>
      <c r="D14" s="36" t="s">
        <v>118</v>
      </c>
      <c r="E14" s="36" t="s">
        <v>35</v>
      </c>
      <c r="F14" s="36" t="s">
        <v>119</v>
      </c>
    </row>
    <row r="15" spans="1:6" ht="38.25" x14ac:dyDescent="0.2">
      <c r="A15" s="38">
        <v>4</v>
      </c>
      <c r="B15" s="39" t="s">
        <v>76</v>
      </c>
      <c r="C15" s="39" t="s">
        <v>120</v>
      </c>
      <c r="D15" s="39" t="s">
        <v>121</v>
      </c>
      <c r="E15" s="39" t="s">
        <v>35</v>
      </c>
      <c r="F15" s="39" t="s">
        <v>122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7"/>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23.5" style="2" customWidth="1"/>
    <col min="2" max="2" width="25.125" style="2" customWidth="1"/>
    <col min="3" max="3" width="31.625" style="2" customWidth="1"/>
    <col min="4" max="4" width="30.125" style="2" customWidth="1"/>
    <col min="5" max="5" width="12" style="2" customWidth="1"/>
    <col min="6" max="1024" width="42.75" style="2" customWidth="1"/>
    <col min="1025" max="16384" width="8.75" style="23"/>
  </cols>
  <sheetData>
    <row r="1" spans="1:5" s="26" customFormat="1" x14ac:dyDescent="0.2">
      <c r="A1" s="21" t="str">
        <f>CONCATENATE("Roltypen bij zaaktype ",Zaaktype!B3,": ",Zaaktype!B4)</f>
        <v>Roltypen bij zaaktype 22: Informatieplicht verwerken</v>
      </c>
      <c r="B1" s="25"/>
      <c r="C1" s="25"/>
      <c r="D1" s="25"/>
      <c r="E1" s="25"/>
    </row>
    <row r="2" spans="1:5" ht="25.5" x14ac:dyDescent="0.2">
      <c r="A2" s="3" t="s">
        <v>57</v>
      </c>
      <c r="B2" s="3" t="s">
        <v>123</v>
      </c>
      <c r="C2" s="3" t="s">
        <v>124</v>
      </c>
      <c r="D2" s="3" t="s">
        <v>125</v>
      </c>
      <c r="E2" s="3" t="s">
        <v>66</v>
      </c>
    </row>
    <row r="3" spans="1:5" ht="35.25" customHeight="1" x14ac:dyDescent="0.2">
      <c r="A3" s="6" t="s">
        <v>126</v>
      </c>
      <c r="B3" s="6" t="s">
        <v>127</v>
      </c>
      <c r="C3" s="6" t="s">
        <v>128</v>
      </c>
      <c r="D3" s="6"/>
      <c r="E3" s="13">
        <v>44607</v>
      </c>
    </row>
    <row r="4" spans="1:5" ht="25.5" x14ac:dyDescent="0.2">
      <c r="A4" s="6" t="s">
        <v>129</v>
      </c>
      <c r="B4" s="6" t="s">
        <v>127</v>
      </c>
      <c r="C4" s="6" t="s">
        <v>130</v>
      </c>
      <c r="D4" s="6"/>
      <c r="E4" s="13">
        <v>44607</v>
      </c>
    </row>
    <row r="5" spans="1:5" ht="25.5" x14ac:dyDescent="0.2">
      <c r="A5" s="6" t="s">
        <v>131</v>
      </c>
      <c r="B5" s="6" t="s">
        <v>132</v>
      </c>
      <c r="C5" s="6" t="s">
        <v>130</v>
      </c>
      <c r="D5" s="6"/>
      <c r="E5" s="13">
        <v>44607</v>
      </c>
    </row>
    <row r="6" spans="1:5" x14ac:dyDescent="0.2">
      <c r="A6" s="6" t="s">
        <v>133</v>
      </c>
      <c r="B6" s="6" t="s">
        <v>134</v>
      </c>
      <c r="C6" s="6"/>
      <c r="D6" s="6" t="s">
        <v>135</v>
      </c>
      <c r="E6" s="13">
        <v>44607</v>
      </c>
    </row>
    <row r="7" spans="1:5" x14ac:dyDescent="0.2">
      <c r="A7" s="2" t="s">
        <v>136</v>
      </c>
      <c r="B7" s="2" t="s">
        <v>136</v>
      </c>
      <c r="E7" s="13">
        <v>44607</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I45"/>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47.625" style="2" customWidth="1"/>
    <col min="2" max="2" width="16.875" style="2" customWidth="1"/>
    <col min="3" max="3" width="69.375" style="2" customWidth="1"/>
    <col min="4" max="4" width="11.75" style="2" customWidth="1"/>
    <col min="5" max="5" width="26.25" style="2" customWidth="1"/>
    <col min="6" max="1023" width="69.375" style="2" customWidth="1"/>
    <col min="1024" max="16384" width="8.75" style="23"/>
  </cols>
  <sheetData>
    <row r="1" spans="1:4" s="26" customFormat="1" x14ac:dyDescent="0.2">
      <c r="A1" s="21" t="str">
        <f>CONCATENATE("Zaakobjecttypen bij zaaktype ",Zaaktype!B3,": ",Zaaktype!B4)</f>
        <v>Zaakobjecttypen bij zaaktype 22: Informatieplicht verwerken</v>
      </c>
      <c r="B1" s="21"/>
      <c r="C1" s="25"/>
      <c r="D1" s="25"/>
    </row>
    <row r="2" spans="1:4" ht="25.5" x14ac:dyDescent="0.2">
      <c r="A2" s="3" t="s">
        <v>137</v>
      </c>
      <c r="B2" s="3" t="s">
        <v>138</v>
      </c>
      <c r="C2" s="3" t="s">
        <v>139</v>
      </c>
      <c r="D2" s="3" t="s">
        <v>66</v>
      </c>
    </row>
    <row r="3" spans="1:4" x14ac:dyDescent="0.2">
      <c r="A3" s="6" t="s">
        <v>140</v>
      </c>
      <c r="B3" s="6" t="s">
        <v>27</v>
      </c>
      <c r="C3" s="6" t="s">
        <v>141</v>
      </c>
      <c r="D3" s="7">
        <v>43800</v>
      </c>
    </row>
    <row r="4" spans="1:4" x14ac:dyDescent="0.2">
      <c r="A4" s="6" t="s">
        <v>142</v>
      </c>
      <c r="B4" s="6" t="s">
        <v>27</v>
      </c>
      <c r="C4" s="6" t="s">
        <v>143</v>
      </c>
      <c r="D4" s="7">
        <v>43800</v>
      </c>
    </row>
    <row r="5" spans="1:4" x14ac:dyDescent="0.2">
      <c r="A5" s="6" t="s">
        <v>144</v>
      </c>
      <c r="B5" s="6" t="s">
        <v>27</v>
      </c>
      <c r="C5" s="6" t="s">
        <v>145</v>
      </c>
      <c r="D5" s="7">
        <v>43800</v>
      </c>
    </row>
    <row r="6" spans="1:4" x14ac:dyDescent="0.2">
      <c r="A6" s="6" t="s">
        <v>146</v>
      </c>
      <c r="B6" s="6" t="s">
        <v>27</v>
      </c>
      <c r="C6" s="6" t="s">
        <v>147</v>
      </c>
      <c r="D6" s="7">
        <v>43800</v>
      </c>
    </row>
    <row r="7" spans="1:4" x14ac:dyDescent="0.2">
      <c r="A7" s="6" t="s">
        <v>148</v>
      </c>
      <c r="B7" s="6" t="s">
        <v>27</v>
      </c>
      <c r="C7" s="6" t="s">
        <v>149</v>
      </c>
      <c r="D7" s="7">
        <v>43800</v>
      </c>
    </row>
    <row r="8" spans="1:4" x14ac:dyDescent="0.2">
      <c r="A8" s="6" t="s">
        <v>150</v>
      </c>
      <c r="B8" s="6" t="s">
        <v>27</v>
      </c>
      <c r="C8" s="6" t="s">
        <v>151</v>
      </c>
      <c r="D8" s="7">
        <v>43800</v>
      </c>
    </row>
    <row r="9" spans="1:4" x14ac:dyDescent="0.2">
      <c r="A9" s="6" t="s">
        <v>152</v>
      </c>
      <c r="B9" s="6" t="s">
        <v>27</v>
      </c>
      <c r="C9" s="6" t="s">
        <v>153</v>
      </c>
      <c r="D9" s="7">
        <v>43800</v>
      </c>
    </row>
    <row r="10" spans="1:4" x14ac:dyDescent="0.2">
      <c r="A10" s="6" t="s">
        <v>154</v>
      </c>
      <c r="B10" s="6" t="s">
        <v>27</v>
      </c>
      <c r="C10" s="6" t="s">
        <v>155</v>
      </c>
      <c r="D10" s="7">
        <v>43800</v>
      </c>
    </row>
    <row r="11" spans="1:4" x14ac:dyDescent="0.2">
      <c r="A11" s="6" t="s">
        <v>156</v>
      </c>
      <c r="B11" s="6" t="s">
        <v>27</v>
      </c>
      <c r="C11" s="6" t="s">
        <v>157</v>
      </c>
      <c r="D11" s="7">
        <v>43800</v>
      </c>
    </row>
    <row r="12" spans="1:4" x14ac:dyDescent="0.2">
      <c r="A12" s="6" t="s">
        <v>158</v>
      </c>
      <c r="B12" s="6" t="s">
        <v>27</v>
      </c>
      <c r="C12" s="6" t="s">
        <v>159</v>
      </c>
      <c r="D12" s="7">
        <v>43800</v>
      </c>
    </row>
    <row r="13" spans="1:4" x14ac:dyDescent="0.2">
      <c r="A13" s="6" t="s">
        <v>160</v>
      </c>
      <c r="B13" s="6" t="s">
        <v>27</v>
      </c>
      <c r="C13" s="6" t="s">
        <v>161</v>
      </c>
      <c r="D13" s="7">
        <v>43800</v>
      </c>
    </row>
    <row r="14" spans="1:4" x14ac:dyDescent="0.2">
      <c r="A14" s="6" t="s">
        <v>162</v>
      </c>
      <c r="B14" s="6" t="s">
        <v>27</v>
      </c>
      <c r="C14" s="6" t="s">
        <v>163</v>
      </c>
      <c r="D14" s="7">
        <v>43800</v>
      </c>
    </row>
    <row r="15" spans="1:4" x14ac:dyDescent="0.2">
      <c r="A15" s="6" t="s">
        <v>164</v>
      </c>
      <c r="B15" s="6" t="s">
        <v>27</v>
      </c>
      <c r="C15" s="6" t="s">
        <v>165</v>
      </c>
      <c r="D15" s="7">
        <v>43800</v>
      </c>
    </row>
    <row r="16" spans="1:4" x14ac:dyDescent="0.2">
      <c r="A16" s="6" t="s">
        <v>166</v>
      </c>
      <c r="B16" s="6" t="s">
        <v>27</v>
      </c>
      <c r="C16" s="6" t="s">
        <v>167</v>
      </c>
      <c r="D16" s="7">
        <v>43800</v>
      </c>
    </row>
    <row r="17" spans="1:4" x14ac:dyDescent="0.2">
      <c r="A17" s="6" t="s">
        <v>168</v>
      </c>
      <c r="B17" s="6" t="s">
        <v>27</v>
      </c>
      <c r="C17" s="6" t="s">
        <v>169</v>
      </c>
      <c r="D17" s="7">
        <v>43800</v>
      </c>
    </row>
    <row r="18" spans="1:4" x14ac:dyDescent="0.2">
      <c r="A18" s="6" t="s">
        <v>170</v>
      </c>
      <c r="B18" s="6" t="s">
        <v>27</v>
      </c>
      <c r="C18" s="6" t="s">
        <v>171</v>
      </c>
      <c r="D18" s="7">
        <v>43800</v>
      </c>
    </row>
    <row r="19" spans="1:4" ht="25.5" x14ac:dyDescent="0.2">
      <c r="A19" s="6" t="s">
        <v>172</v>
      </c>
      <c r="B19" s="6" t="s">
        <v>27</v>
      </c>
      <c r="C19" s="6" t="s">
        <v>173</v>
      </c>
      <c r="D19" s="7">
        <v>43800</v>
      </c>
    </row>
    <row r="20" spans="1:4" x14ac:dyDescent="0.2">
      <c r="A20" s="6" t="s">
        <v>174</v>
      </c>
      <c r="B20" s="6" t="s">
        <v>27</v>
      </c>
      <c r="C20" s="6" t="s">
        <v>175</v>
      </c>
      <c r="D20" s="7">
        <v>43800</v>
      </c>
    </row>
    <row r="21" spans="1:4" x14ac:dyDescent="0.2">
      <c r="A21" s="6" t="s">
        <v>176</v>
      </c>
      <c r="B21" s="6" t="s">
        <v>27</v>
      </c>
      <c r="C21" s="6" t="s">
        <v>177</v>
      </c>
      <c r="D21" s="7">
        <v>43800</v>
      </c>
    </row>
    <row r="22" spans="1:4" x14ac:dyDescent="0.2">
      <c r="A22" s="6" t="s">
        <v>178</v>
      </c>
      <c r="B22" s="6" t="s">
        <v>27</v>
      </c>
      <c r="C22" s="6" t="s">
        <v>179</v>
      </c>
      <c r="D22" s="7">
        <v>43800</v>
      </c>
    </row>
    <row r="23" spans="1:4" x14ac:dyDescent="0.2">
      <c r="A23" s="6" t="s">
        <v>180</v>
      </c>
      <c r="B23" s="6" t="s">
        <v>27</v>
      </c>
      <c r="C23" s="6" t="s">
        <v>181</v>
      </c>
      <c r="D23" s="7">
        <v>43800</v>
      </c>
    </row>
    <row r="24" spans="1:4" x14ac:dyDescent="0.2">
      <c r="A24" s="6" t="s">
        <v>182</v>
      </c>
      <c r="B24" s="6" t="s">
        <v>27</v>
      </c>
      <c r="C24" s="6" t="s">
        <v>183</v>
      </c>
      <c r="D24" s="7">
        <v>43800</v>
      </c>
    </row>
    <row r="25" spans="1:4" x14ac:dyDescent="0.2">
      <c r="A25" s="6" t="s">
        <v>184</v>
      </c>
      <c r="B25" s="6" t="s">
        <v>27</v>
      </c>
      <c r="C25" s="6" t="s">
        <v>185</v>
      </c>
      <c r="D25" s="7">
        <v>43800</v>
      </c>
    </row>
    <row r="26" spans="1:4" x14ac:dyDescent="0.2">
      <c r="A26" s="6" t="s">
        <v>186</v>
      </c>
      <c r="B26" s="6" t="s">
        <v>27</v>
      </c>
      <c r="C26" s="6" t="s">
        <v>187</v>
      </c>
      <c r="D26" s="7">
        <v>43800</v>
      </c>
    </row>
    <row r="27" spans="1:4" x14ac:dyDescent="0.2">
      <c r="A27" s="6" t="s">
        <v>188</v>
      </c>
      <c r="B27" s="6" t="s">
        <v>27</v>
      </c>
      <c r="C27" s="6" t="s">
        <v>189</v>
      </c>
      <c r="D27" s="7">
        <v>43800</v>
      </c>
    </row>
    <row r="28" spans="1:4" x14ac:dyDescent="0.2">
      <c r="A28" s="6" t="s">
        <v>190</v>
      </c>
      <c r="B28" s="6" t="s">
        <v>27</v>
      </c>
      <c r="C28" s="6" t="s">
        <v>191</v>
      </c>
      <c r="D28" s="7">
        <v>43800</v>
      </c>
    </row>
    <row r="29" spans="1:4" x14ac:dyDescent="0.2">
      <c r="A29" s="6" t="s">
        <v>192</v>
      </c>
      <c r="B29" s="6" t="s">
        <v>27</v>
      </c>
      <c r="C29" s="6" t="s">
        <v>193</v>
      </c>
      <c r="D29" s="7">
        <v>43800</v>
      </c>
    </row>
    <row r="30" spans="1:4" x14ac:dyDescent="0.2">
      <c r="A30" s="6" t="s">
        <v>194</v>
      </c>
      <c r="B30" s="6" t="s">
        <v>27</v>
      </c>
      <c r="C30" s="6" t="s">
        <v>195</v>
      </c>
      <c r="D30" s="7">
        <v>43800</v>
      </c>
    </row>
    <row r="31" spans="1:4" x14ac:dyDescent="0.2">
      <c r="A31" s="6" t="s">
        <v>196</v>
      </c>
      <c r="B31" s="6" t="s">
        <v>27</v>
      </c>
      <c r="C31" s="6" t="s">
        <v>197</v>
      </c>
      <c r="D31" s="7">
        <v>43800</v>
      </c>
    </row>
    <row r="32" spans="1:4" x14ac:dyDescent="0.2">
      <c r="A32" s="6" t="s">
        <v>198</v>
      </c>
      <c r="B32" s="6" t="s">
        <v>27</v>
      </c>
      <c r="C32" s="6" t="s">
        <v>199</v>
      </c>
      <c r="D32" s="7">
        <v>43800</v>
      </c>
    </row>
    <row r="33" spans="1:4" x14ac:dyDescent="0.2">
      <c r="A33" s="6" t="s">
        <v>200</v>
      </c>
      <c r="B33" s="6" t="s">
        <v>27</v>
      </c>
      <c r="C33" s="6" t="s">
        <v>201</v>
      </c>
      <c r="D33" s="7">
        <v>43800</v>
      </c>
    </row>
    <row r="34" spans="1:4" x14ac:dyDescent="0.2">
      <c r="A34" s="6" t="s">
        <v>202</v>
      </c>
      <c r="B34" s="6" t="s">
        <v>27</v>
      </c>
      <c r="C34" s="6" t="s">
        <v>203</v>
      </c>
      <c r="D34" s="7">
        <v>43800</v>
      </c>
    </row>
    <row r="35" spans="1:4" x14ac:dyDescent="0.2">
      <c r="A35" s="6" t="s">
        <v>204</v>
      </c>
      <c r="B35" s="6" t="s">
        <v>27</v>
      </c>
      <c r="C35" s="6" t="s">
        <v>205</v>
      </c>
      <c r="D35" s="7">
        <v>43800</v>
      </c>
    </row>
    <row r="36" spans="1:4" x14ac:dyDescent="0.2">
      <c r="A36" s="6" t="s">
        <v>206</v>
      </c>
      <c r="B36" s="6" t="s">
        <v>27</v>
      </c>
      <c r="C36" s="6" t="s">
        <v>207</v>
      </c>
      <c r="D36" s="7">
        <v>43800</v>
      </c>
    </row>
    <row r="37" spans="1:4" ht="38.25" x14ac:dyDescent="0.2">
      <c r="A37" s="6" t="s">
        <v>208</v>
      </c>
      <c r="B37" s="6" t="s">
        <v>209</v>
      </c>
      <c r="C37" s="6" t="s">
        <v>210</v>
      </c>
      <c r="D37" s="7">
        <v>43800</v>
      </c>
    </row>
    <row r="38" spans="1:4" x14ac:dyDescent="0.2">
      <c r="A38" s="6" t="s">
        <v>211</v>
      </c>
      <c r="B38" s="6" t="s">
        <v>27</v>
      </c>
      <c r="C38" s="6" t="s">
        <v>212</v>
      </c>
      <c r="D38" s="7">
        <v>43800</v>
      </c>
    </row>
    <row r="39" spans="1:4" x14ac:dyDescent="0.2">
      <c r="A39" s="6" t="s">
        <v>213</v>
      </c>
      <c r="B39" s="6" t="s">
        <v>27</v>
      </c>
      <c r="C39" s="6" t="s">
        <v>214</v>
      </c>
      <c r="D39" s="7">
        <v>43800</v>
      </c>
    </row>
    <row r="40" spans="1:4" x14ac:dyDescent="0.2">
      <c r="A40" s="6" t="s">
        <v>215</v>
      </c>
      <c r="B40" s="6" t="s">
        <v>27</v>
      </c>
      <c r="C40" s="6" t="s">
        <v>216</v>
      </c>
      <c r="D40" s="7">
        <v>43800</v>
      </c>
    </row>
    <row r="41" spans="1:4" x14ac:dyDescent="0.2">
      <c r="A41" s="6" t="s">
        <v>217</v>
      </c>
      <c r="B41" s="6" t="s">
        <v>27</v>
      </c>
      <c r="C41" s="6" t="s">
        <v>218</v>
      </c>
      <c r="D41" s="7">
        <v>43800</v>
      </c>
    </row>
    <row r="42" spans="1:4" x14ac:dyDescent="0.2">
      <c r="A42" s="6" t="s">
        <v>219</v>
      </c>
      <c r="B42" s="6" t="s">
        <v>27</v>
      </c>
      <c r="C42" s="6" t="s">
        <v>220</v>
      </c>
      <c r="D42" s="7">
        <v>43800</v>
      </c>
    </row>
    <row r="43" spans="1:4" x14ac:dyDescent="0.2">
      <c r="A43" s="6" t="s">
        <v>221</v>
      </c>
      <c r="B43" s="6" t="s">
        <v>27</v>
      </c>
      <c r="C43" s="6" t="s">
        <v>222</v>
      </c>
      <c r="D43" s="7">
        <v>43800</v>
      </c>
    </row>
    <row r="44" spans="1:4" x14ac:dyDescent="0.2">
      <c r="A44" s="6" t="s">
        <v>223</v>
      </c>
      <c r="B44" s="6" t="s">
        <v>27</v>
      </c>
      <c r="C44" s="6" t="s">
        <v>224</v>
      </c>
      <c r="D44" s="7">
        <v>43800</v>
      </c>
    </row>
    <row r="45" spans="1:4" x14ac:dyDescent="0.2">
      <c r="A45" s="6" t="s">
        <v>225</v>
      </c>
      <c r="B45" s="6" t="s">
        <v>27</v>
      </c>
      <c r="C45" s="6" t="s">
        <v>226</v>
      </c>
      <c r="D45" s="7">
        <v>43800</v>
      </c>
    </row>
  </sheetData>
  <autoFilter ref="A2:AMI2" xr:uid="{00000000-0001-0000-0300-000000000000}"/>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3"/>
  <sheetViews>
    <sheetView workbookViewId="0">
      <pane xSplit="1" ySplit="2" topLeftCell="B3" activePane="bottomRight" state="frozen"/>
      <selection pane="topRight" activeCell="A39" sqref="A39:B47"/>
      <selection pane="bottomLeft" activeCell="A39" sqref="A39:B47"/>
      <selection pane="bottomRight" activeCell="A3" sqref="A3"/>
    </sheetView>
  </sheetViews>
  <sheetFormatPr defaultColWidth="8.75" defaultRowHeight="12.75" x14ac:dyDescent="0.2"/>
  <cols>
    <col min="1" max="1" width="22.625" style="2" customWidth="1"/>
    <col min="2" max="2" width="40.875" style="2" customWidth="1"/>
    <col min="3" max="3" width="21.25" style="2" customWidth="1"/>
    <col min="4" max="4" width="10.125" style="2" customWidth="1"/>
    <col min="5" max="5" width="8.125" style="2" customWidth="1"/>
    <col min="6" max="6" width="12.125" style="2" customWidth="1"/>
    <col min="7" max="7" width="22.25" style="2" customWidth="1"/>
    <col min="8" max="8" width="56.75" style="2" customWidth="1"/>
    <col min="9" max="9" width="16.875" style="2" customWidth="1"/>
    <col min="10" max="1027" width="56.75" style="2" customWidth="1"/>
    <col min="1028" max="16384" width="8.75" style="23"/>
  </cols>
  <sheetData>
    <row r="1" spans="1:9" s="26" customFormat="1" x14ac:dyDescent="0.2">
      <c r="A1" s="21" t="str">
        <f>CONCATENATE("Eigenschappen bij zaaktype ",Zaaktype!B3,": ",Zaaktype!B4)</f>
        <v>Eigenschappen bij zaaktype 22: Informatieplicht verwerken</v>
      </c>
      <c r="B1" s="25"/>
      <c r="C1" s="25"/>
      <c r="D1" s="25"/>
      <c r="E1" s="25"/>
      <c r="F1" s="25"/>
      <c r="G1" s="25"/>
      <c r="H1" s="25"/>
      <c r="I1" s="25"/>
    </row>
    <row r="2" spans="1:9" ht="25.5" x14ac:dyDescent="0.2">
      <c r="A2" s="3" t="s">
        <v>227</v>
      </c>
      <c r="B2" s="3" t="s">
        <v>228</v>
      </c>
      <c r="C2" s="3" t="s">
        <v>229</v>
      </c>
      <c r="D2" s="3" t="s">
        <v>230</v>
      </c>
      <c r="E2" s="3" t="s">
        <v>231</v>
      </c>
      <c r="F2" s="3" t="s">
        <v>232</v>
      </c>
      <c r="G2" s="3" t="s">
        <v>233</v>
      </c>
      <c r="H2" s="3" t="s">
        <v>62</v>
      </c>
      <c r="I2" s="3" t="s">
        <v>66</v>
      </c>
    </row>
    <row r="3" spans="1:9" ht="102" x14ac:dyDescent="0.2">
      <c r="A3" s="2" t="s">
        <v>234</v>
      </c>
      <c r="B3" s="2" t="s">
        <v>235</v>
      </c>
      <c r="D3" s="2" t="s">
        <v>236</v>
      </c>
      <c r="H3" s="2" t="s">
        <v>237</v>
      </c>
      <c r="I3" s="13">
        <v>44607</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G14"/>
  <sheetViews>
    <sheetView workbookViewId="0">
      <pane xSplit="3" ySplit="2" topLeftCell="D3" activePane="bottomRight" state="frozen"/>
      <selection pane="topRight" activeCell="A39" sqref="A39:B47"/>
      <selection pane="bottomLeft" activeCell="A39" sqref="A39:B47"/>
      <selection pane="bottomRight" activeCell="C15" sqref="C15"/>
    </sheetView>
  </sheetViews>
  <sheetFormatPr defaultColWidth="8.75" defaultRowHeight="12.75" x14ac:dyDescent="0.2"/>
  <cols>
    <col min="1" max="1" width="14.75" style="42" customWidth="1"/>
    <col min="2" max="2" width="12.25" style="42" customWidth="1"/>
    <col min="3" max="3" width="27.75" style="42" customWidth="1"/>
    <col min="4" max="1021" width="39.125" style="42" customWidth="1"/>
    <col min="1022" max="16384" width="8.75" style="44"/>
  </cols>
  <sheetData>
    <row r="1" spans="1:3" s="47" customFormat="1" x14ac:dyDescent="0.2">
      <c r="A1" s="45" t="str">
        <f>CONCATENATE("Informatieobjecttypen bij zaaktype ",Zaaktype!B3,": ",Zaaktype!B4)</f>
        <v>Informatieobjecttypen bij zaaktype 22: Informatieplicht verwerken</v>
      </c>
      <c r="B1" s="46"/>
      <c r="C1" s="46"/>
    </row>
    <row r="2" spans="1:3" x14ac:dyDescent="0.2">
      <c r="A2" s="48" t="s">
        <v>238</v>
      </c>
      <c r="B2" s="48" t="s">
        <v>239</v>
      </c>
      <c r="C2" s="48" t="s">
        <v>240</v>
      </c>
    </row>
    <row r="3" spans="1:3" x14ac:dyDescent="0.2">
      <c r="A3" s="49">
        <v>1</v>
      </c>
      <c r="B3" s="49" t="s">
        <v>241</v>
      </c>
      <c r="C3" s="49" t="s">
        <v>18</v>
      </c>
    </row>
    <row r="4" spans="1:3" x14ac:dyDescent="0.2">
      <c r="A4" s="49">
        <v>2</v>
      </c>
      <c r="B4" s="49" t="s">
        <v>242</v>
      </c>
      <c r="C4" s="46" t="s">
        <v>243</v>
      </c>
    </row>
    <row r="5" spans="1:3" x14ac:dyDescent="0.2">
      <c r="A5" s="49">
        <v>3</v>
      </c>
      <c r="B5" s="49" t="s">
        <v>242</v>
      </c>
      <c r="C5" s="46" t="s">
        <v>244</v>
      </c>
    </row>
    <row r="6" spans="1:3" x14ac:dyDescent="0.2">
      <c r="A6" s="49">
        <v>4</v>
      </c>
      <c r="B6" s="49" t="s">
        <v>242</v>
      </c>
      <c r="C6" s="46" t="s">
        <v>245</v>
      </c>
    </row>
    <row r="7" spans="1:3" x14ac:dyDescent="0.2">
      <c r="A7" s="49">
        <v>5</v>
      </c>
      <c r="B7" s="49" t="s">
        <v>32</v>
      </c>
      <c r="C7" s="46" t="s">
        <v>245</v>
      </c>
    </row>
    <row r="8" spans="1:3" x14ac:dyDescent="0.2">
      <c r="A8" s="49">
        <v>6</v>
      </c>
      <c r="B8" s="49" t="s">
        <v>32</v>
      </c>
      <c r="C8" s="46" t="s">
        <v>246</v>
      </c>
    </row>
    <row r="9" spans="1:3" x14ac:dyDescent="0.2">
      <c r="A9" s="49">
        <v>7</v>
      </c>
      <c r="B9" s="49" t="s">
        <v>241</v>
      </c>
      <c r="C9" s="46" t="s">
        <v>246</v>
      </c>
    </row>
    <row r="10" spans="1:3" x14ac:dyDescent="0.2">
      <c r="A10" s="50">
        <v>8</v>
      </c>
      <c r="B10" s="42" t="s">
        <v>242</v>
      </c>
      <c r="C10" s="42" t="s">
        <v>247</v>
      </c>
    </row>
    <row r="11" spans="1:3" x14ac:dyDescent="0.2">
      <c r="A11" s="50">
        <v>10</v>
      </c>
      <c r="B11" s="42" t="s">
        <v>242</v>
      </c>
      <c r="C11" s="42" t="s">
        <v>248</v>
      </c>
    </row>
    <row r="12" spans="1:3" x14ac:dyDescent="0.2">
      <c r="A12" s="49">
        <v>98</v>
      </c>
      <c r="B12" s="49" t="s">
        <v>241</v>
      </c>
      <c r="C12" s="46" t="s">
        <v>249</v>
      </c>
    </row>
    <row r="13" spans="1:3" x14ac:dyDescent="0.2">
      <c r="A13" s="49">
        <v>99</v>
      </c>
      <c r="B13" s="49" t="s">
        <v>242</v>
      </c>
      <c r="C13" s="46" t="s">
        <v>250</v>
      </c>
    </row>
    <row r="14" spans="1:3" x14ac:dyDescent="0.2">
      <c r="A14" s="50">
        <v>11</v>
      </c>
      <c r="B14" s="42" t="s">
        <v>32</v>
      </c>
      <c r="C14" s="42" t="s">
        <v>251</v>
      </c>
    </row>
  </sheetData>
  <pageMargins left="0" right="0" top="0.39370078740157483" bottom="0.39370078740157483" header="0" footer="0"/>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B2"/>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19.25" style="23" customWidth="1"/>
    <col min="2" max="2" width="12.875" style="23" customWidth="1"/>
    <col min="3" max="16384" width="8.75" style="23"/>
  </cols>
  <sheetData>
    <row r="1" spans="1:2" s="24" customFormat="1" x14ac:dyDescent="0.2">
      <c r="A1" s="24" t="str">
        <f>CONCATENATE("Besluittypen bij zaaktype ",Zaaktype!B3,": ",Zaaktype!B4)</f>
        <v>Besluittypen bij zaaktype 22: Informatieplicht verwerken</v>
      </c>
    </row>
    <row r="2" spans="1:2" ht="25.5" x14ac:dyDescent="0.2">
      <c r="A2" s="3" t="s">
        <v>252</v>
      </c>
      <c r="B2" s="3" t="s">
        <v>66</v>
      </c>
    </row>
  </sheetData>
  <pageMargins left="0" right="0" top="0.39370078740157483" bottom="0.39370078740157483" header="0" footer="0"/>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AMQ33"/>
  <sheetViews>
    <sheetView zoomScaleNormal="100" workbookViewId="0">
      <pane xSplit="2" ySplit="2" topLeftCell="L3" activePane="bottomRight" state="frozen"/>
      <selection pane="topRight" activeCell="A39" sqref="A39:B47"/>
      <selection pane="bottomLeft" activeCell="A39" sqref="A39:B47"/>
      <selection pane="bottomRight" activeCell="B26" sqref="B26"/>
    </sheetView>
  </sheetViews>
  <sheetFormatPr defaultColWidth="10.125" defaultRowHeight="12.75" x14ac:dyDescent="0.2"/>
  <cols>
    <col min="1" max="1" width="26.25" style="42" bestFit="1" customWidth="1"/>
    <col min="2" max="2" width="16.25" style="42" customWidth="1"/>
    <col min="3" max="3" width="34.75" style="42" customWidth="1"/>
    <col min="4" max="4" width="24.875" style="42" customWidth="1"/>
    <col min="5" max="5" width="24.375" style="42" customWidth="1"/>
    <col min="6" max="6" width="10" style="42" customWidth="1"/>
    <col min="7" max="7" width="14.125" style="42" customWidth="1"/>
    <col min="8" max="8" width="19.75" style="42" bestFit="1" customWidth="1"/>
    <col min="9" max="9" width="9.25" style="42" customWidth="1"/>
    <col min="10" max="10" width="16.25" style="42" customWidth="1"/>
    <col min="11" max="11" width="21.75" style="42" customWidth="1"/>
    <col min="12" max="16" width="22.75" style="42" customWidth="1"/>
    <col min="17" max="17" width="62.375" style="42" customWidth="1"/>
    <col min="18" max="18" width="33" style="42" customWidth="1"/>
    <col min="19" max="20" width="28.875" style="42" customWidth="1"/>
    <col min="21" max="21" width="16.875" style="42" customWidth="1"/>
    <col min="22" max="22" width="13.875" style="42" customWidth="1"/>
    <col min="23" max="1031" width="10.125" style="42"/>
    <col min="1032" max="16384" width="10.125" style="44"/>
  </cols>
  <sheetData>
    <row r="1" spans="1:1031" s="51" customFormat="1" x14ac:dyDescent="0.2">
      <c r="A1" s="45" t="str">
        <f>CONCATENATE("Resultaattypen bij zaaktype ",Zaaktype!B3,": ",Zaaktype!B4)</f>
        <v>Resultaattypen bij zaaktype 22: Informatieplicht verwerken</v>
      </c>
      <c r="B1" s="45"/>
      <c r="C1" s="45"/>
      <c r="D1" s="45"/>
      <c r="E1" s="45"/>
      <c r="F1" s="45"/>
      <c r="G1" s="45"/>
      <c r="H1" s="45"/>
      <c r="I1" s="45"/>
      <c r="J1" s="45"/>
      <c r="K1" s="45"/>
      <c r="L1" s="45"/>
      <c r="M1" s="45"/>
      <c r="N1" s="45"/>
      <c r="O1" s="45"/>
      <c r="P1" s="45"/>
      <c r="Q1" s="45"/>
      <c r="R1" s="45"/>
      <c r="S1" s="45"/>
      <c r="T1" s="45"/>
      <c r="U1" s="45"/>
      <c r="V1" s="45"/>
    </row>
    <row r="2" spans="1:1031" s="52" customFormat="1" ht="38.25" x14ac:dyDescent="0.2">
      <c r="A2" s="48" t="s">
        <v>253</v>
      </c>
      <c r="B2" s="48" t="s">
        <v>254</v>
      </c>
      <c r="C2" s="48" t="s">
        <v>255</v>
      </c>
      <c r="D2" s="48" t="s">
        <v>256</v>
      </c>
      <c r="E2" s="48" t="s">
        <v>257</v>
      </c>
      <c r="F2" s="48" t="s">
        <v>258</v>
      </c>
      <c r="G2" s="48" t="s">
        <v>259</v>
      </c>
      <c r="H2" s="48" t="s">
        <v>260</v>
      </c>
      <c r="I2" s="48" t="s">
        <v>261</v>
      </c>
      <c r="J2" s="48" t="s">
        <v>262</v>
      </c>
      <c r="K2" s="48" t="s">
        <v>263</v>
      </c>
      <c r="L2" s="48" t="s">
        <v>264</v>
      </c>
      <c r="M2" s="48" t="s">
        <v>265</v>
      </c>
      <c r="N2" s="48" t="s">
        <v>266</v>
      </c>
      <c r="O2" s="48" t="s">
        <v>267</v>
      </c>
      <c r="P2" s="48" t="s">
        <v>268</v>
      </c>
      <c r="Q2" s="48" t="s">
        <v>11</v>
      </c>
      <c r="R2" s="48" t="s">
        <v>269</v>
      </c>
      <c r="S2" s="48" t="s">
        <v>270</v>
      </c>
      <c r="T2" s="48" t="s">
        <v>271</v>
      </c>
      <c r="U2" s="48" t="s">
        <v>272</v>
      </c>
      <c r="V2" s="48" t="s">
        <v>273</v>
      </c>
    </row>
    <row r="3" spans="1:1031" ht="31.5" customHeight="1" x14ac:dyDescent="0.2">
      <c r="A3" s="53" t="s">
        <v>274</v>
      </c>
      <c r="B3" s="42" t="s">
        <v>275</v>
      </c>
      <c r="C3" s="53" t="s">
        <v>276</v>
      </c>
      <c r="D3" s="53" t="s">
        <v>274</v>
      </c>
      <c r="E3" s="48"/>
      <c r="F3" s="53" t="s">
        <v>27</v>
      </c>
      <c r="G3" s="42" t="s">
        <v>277</v>
      </c>
      <c r="H3" s="53" t="s">
        <v>278</v>
      </c>
      <c r="I3" s="48"/>
      <c r="J3" s="42">
        <v>12</v>
      </c>
      <c r="K3" s="53" t="s">
        <v>279</v>
      </c>
      <c r="L3" s="48"/>
      <c r="M3" s="48"/>
      <c r="N3" s="48"/>
      <c r="O3" s="48"/>
      <c r="P3" s="48"/>
      <c r="Q3" s="53" t="s">
        <v>280</v>
      </c>
      <c r="R3" s="48"/>
      <c r="S3" s="48"/>
      <c r="T3" s="48"/>
      <c r="U3" s="48"/>
      <c r="V3" s="43">
        <v>44607</v>
      </c>
    </row>
    <row r="4" spans="1:1031" ht="25.5" customHeight="1" x14ac:dyDescent="0.2">
      <c r="A4" s="42" t="s">
        <v>281</v>
      </c>
      <c r="B4" s="42" t="s">
        <v>275</v>
      </c>
      <c r="C4" s="42" t="s">
        <v>276</v>
      </c>
      <c r="D4" s="53" t="s">
        <v>274</v>
      </c>
      <c r="E4" s="42" t="s">
        <v>282</v>
      </c>
      <c r="F4" s="42" t="s">
        <v>209</v>
      </c>
      <c r="G4" s="42" t="s">
        <v>283</v>
      </c>
      <c r="H4" s="42" t="s">
        <v>284</v>
      </c>
      <c r="K4" s="42" t="s">
        <v>285</v>
      </c>
      <c r="Q4" s="42" t="s">
        <v>286</v>
      </c>
      <c r="T4" s="42" t="s">
        <v>287</v>
      </c>
      <c r="V4" s="43">
        <v>44607</v>
      </c>
    </row>
    <row r="5" spans="1:1031" x14ac:dyDescent="0.2">
      <c r="A5" s="42" t="s">
        <v>288</v>
      </c>
      <c r="B5" s="42" t="s">
        <v>275</v>
      </c>
      <c r="C5" s="42" t="s">
        <v>276</v>
      </c>
      <c r="D5" s="53" t="s">
        <v>274</v>
      </c>
      <c r="E5" s="53" t="s">
        <v>289</v>
      </c>
      <c r="F5" s="42" t="s">
        <v>209</v>
      </c>
      <c r="G5" s="42" t="s">
        <v>290</v>
      </c>
      <c r="H5" s="42" t="s">
        <v>278</v>
      </c>
      <c r="J5" s="42">
        <v>600</v>
      </c>
      <c r="K5" s="42" t="s">
        <v>285</v>
      </c>
      <c r="Q5" s="42" t="s">
        <v>291</v>
      </c>
      <c r="T5" s="42" t="s">
        <v>287</v>
      </c>
      <c r="V5" s="43">
        <v>44607</v>
      </c>
    </row>
    <row r="6" spans="1:1031" x14ac:dyDescent="0.2">
      <c r="A6" s="42" t="s">
        <v>292</v>
      </c>
      <c r="B6" s="42" t="s">
        <v>275</v>
      </c>
      <c r="C6" s="42" t="s">
        <v>276</v>
      </c>
      <c r="D6" s="53" t="s">
        <v>274</v>
      </c>
      <c r="E6" s="42" t="s">
        <v>293</v>
      </c>
      <c r="F6" s="42" t="s">
        <v>209</v>
      </c>
      <c r="G6" s="42" t="s">
        <v>294</v>
      </c>
      <c r="H6" s="42" t="s">
        <v>284</v>
      </c>
      <c r="J6" s="54"/>
      <c r="K6" s="42" t="s">
        <v>285</v>
      </c>
      <c r="Q6" s="42" t="s">
        <v>295</v>
      </c>
      <c r="T6" s="42" t="s">
        <v>287</v>
      </c>
      <c r="V6" s="43">
        <v>44607</v>
      </c>
    </row>
    <row r="7" spans="1:1031" ht="25.5" customHeight="1" x14ac:dyDescent="0.2">
      <c r="A7" s="42" t="s">
        <v>296</v>
      </c>
      <c r="B7" s="42" t="s">
        <v>275</v>
      </c>
      <c r="C7" s="42" t="s">
        <v>276</v>
      </c>
      <c r="D7" s="53" t="s">
        <v>274</v>
      </c>
      <c r="E7" s="42" t="s">
        <v>297</v>
      </c>
      <c r="F7" s="42" t="s">
        <v>209</v>
      </c>
      <c r="G7" s="42" t="s">
        <v>298</v>
      </c>
      <c r="H7" s="42" t="s">
        <v>284</v>
      </c>
      <c r="K7" s="42" t="s">
        <v>285</v>
      </c>
      <c r="Q7" s="42" t="s">
        <v>299</v>
      </c>
      <c r="T7" s="42" t="s">
        <v>287</v>
      </c>
      <c r="V7" s="43">
        <v>44607</v>
      </c>
    </row>
    <row r="8" spans="1:1031" ht="25.5" customHeight="1" x14ac:dyDescent="0.2">
      <c r="A8" s="42" t="s">
        <v>300</v>
      </c>
      <c r="B8" s="42" t="s">
        <v>275</v>
      </c>
      <c r="C8" s="42" t="s">
        <v>276</v>
      </c>
      <c r="D8" s="53" t="s">
        <v>274</v>
      </c>
      <c r="E8" s="42" t="s">
        <v>301</v>
      </c>
      <c r="F8" s="42" t="s">
        <v>209</v>
      </c>
      <c r="G8" s="42" t="s">
        <v>302</v>
      </c>
      <c r="H8" s="42" t="s">
        <v>278</v>
      </c>
      <c r="J8" s="42">
        <v>12</v>
      </c>
      <c r="K8" s="42" t="s">
        <v>285</v>
      </c>
      <c r="Q8" s="42" t="s">
        <v>303</v>
      </c>
      <c r="T8" s="42" t="s">
        <v>287</v>
      </c>
      <c r="V8" s="43">
        <v>44607</v>
      </c>
    </row>
    <row r="9" spans="1:1031" x14ac:dyDescent="0.2">
      <c r="A9" s="42" t="s">
        <v>304</v>
      </c>
      <c r="B9" s="42" t="s">
        <v>275</v>
      </c>
      <c r="C9" s="42" t="s">
        <v>276</v>
      </c>
      <c r="D9" s="53" t="s">
        <v>274</v>
      </c>
      <c r="E9" s="42" t="s">
        <v>305</v>
      </c>
      <c r="F9" s="42" t="s">
        <v>209</v>
      </c>
      <c r="G9" s="42" t="s">
        <v>306</v>
      </c>
      <c r="H9" s="42" t="s">
        <v>284</v>
      </c>
      <c r="K9" s="42" t="s">
        <v>285</v>
      </c>
      <c r="Q9" s="42" t="s">
        <v>307</v>
      </c>
      <c r="T9" s="42" t="s">
        <v>287</v>
      </c>
      <c r="V9" s="43">
        <v>44607</v>
      </c>
    </row>
    <row r="10" spans="1:1031" ht="25.5" x14ac:dyDescent="0.2">
      <c r="A10" s="42" t="s">
        <v>308</v>
      </c>
      <c r="B10" s="42" t="s">
        <v>275</v>
      </c>
      <c r="C10" s="42" t="s">
        <v>309</v>
      </c>
      <c r="D10" s="42" t="s">
        <v>308</v>
      </c>
      <c r="F10" s="42" t="s">
        <v>27</v>
      </c>
      <c r="G10" s="42" t="s">
        <v>310</v>
      </c>
      <c r="H10" s="42" t="s">
        <v>278</v>
      </c>
      <c r="J10" s="42">
        <v>60</v>
      </c>
      <c r="K10" s="42" t="s">
        <v>285</v>
      </c>
      <c r="Q10" s="42" t="s">
        <v>311</v>
      </c>
      <c r="V10" s="43">
        <v>44607</v>
      </c>
    </row>
    <row r="11" spans="1:1031" ht="25.5" customHeight="1" x14ac:dyDescent="0.2">
      <c r="A11" s="42" t="s">
        <v>312</v>
      </c>
      <c r="B11" s="42" t="s">
        <v>275</v>
      </c>
      <c r="C11" s="42" t="s">
        <v>309</v>
      </c>
      <c r="D11" s="42" t="s">
        <v>312</v>
      </c>
      <c r="E11" s="42" t="s">
        <v>313</v>
      </c>
      <c r="F11" s="42" t="s">
        <v>209</v>
      </c>
      <c r="G11" s="42" t="s">
        <v>310</v>
      </c>
      <c r="H11" s="42" t="s">
        <v>278</v>
      </c>
      <c r="J11" s="42">
        <v>60</v>
      </c>
      <c r="K11" s="42" t="s">
        <v>285</v>
      </c>
      <c r="Q11" s="42" t="s">
        <v>358</v>
      </c>
      <c r="T11" s="42" t="s">
        <v>314</v>
      </c>
      <c r="V11" s="43">
        <v>44607</v>
      </c>
    </row>
    <row r="12" spans="1:1031" ht="25.5" x14ac:dyDescent="0.2">
      <c r="A12" s="42" t="s">
        <v>315</v>
      </c>
      <c r="B12" s="42" t="s">
        <v>275</v>
      </c>
      <c r="C12" s="42" t="s">
        <v>315</v>
      </c>
      <c r="D12" s="42" t="s">
        <v>315</v>
      </c>
      <c r="F12" s="42" t="s">
        <v>27</v>
      </c>
      <c r="G12" s="42" t="s">
        <v>316</v>
      </c>
      <c r="H12" s="42" t="s">
        <v>278</v>
      </c>
      <c r="J12" s="42">
        <v>12</v>
      </c>
      <c r="K12" s="42" t="s">
        <v>285</v>
      </c>
      <c r="Q12" s="42" t="s">
        <v>317</v>
      </c>
      <c r="V12" s="43">
        <v>44607</v>
      </c>
    </row>
    <row r="13" spans="1:1031" x14ac:dyDescent="0.2">
      <c r="A13" s="42" t="s">
        <v>318</v>
      </c>
      <c r="B13" s="42" t="s">
        <v>319</v>
      </c>
      <c r="C13" s="42" t="s">
        <v>276</v>
      </c>
      <c r="D13" s="42" t="s">
        <v>320</v>
      </c>
      <c r="G13" s="42">
        <v>25</v>
      </c>
      <c r="H13" s="42" t="s">
        <v>278</v>
      </c>
      <c r="J13" s="42">
        <v>120</v>
      </c>
      <c r="K13" s="42" t="s">
        <v>285</v>
      </c>
      <c r="Q13" s="42" t="s">
        <v>321</v>
      </c>
      <c r="V13" s="43">
        <v>44607</v>
      </c>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c r="EJ13" s="44"/>
      <c r="EK13" s="44"/>
      <c r="EL13" s="44"/>
      <c r="EM13" s="44"/>
      <c r="EN13" s="44"/>
      <c r="EO13" s="44"/>
      <c r="EP13" s="44"/>
      <c r="EQ13" s="44"/>
      <c r="ER13" s="44"/>
      <c r="ES13" s="44"/>
      <c r="ET13" s="44"/>
      <c r="EU13" s="44"/>
      <c r="EV13" s="44"/>
      <c r="EW13" s="44"/>
      <c r="EX13" s="44"/>
      <c r="EY13" s="44"/>
      <c r="EZ13" s="44"/>
      <c r="FA13" s="44"/>
      <c r="FB13" s="44"/>
      <c r="FC13" s="44"/>
      <c r="FD13" s="44"/>
      <c r="FE13" s="44"/>
      <c r="FF13" s="44"/>
      <c r="FG13" s="44"/>
      <c r="FH13" s="44"/>
      <c r="FI13" s="44"/>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4"/>
      <c r="GS13" s="44"/>
      <c r="GT13" s="44"/>
      <c r="GU13" s="44"/>
      <c r="GV13" s="44"/>
      <c r="GW13" s="44"/>
      <c r="GX13" s="44"/>
      <c r="GY13" s="44"/>
      <c r="GZ13" s="44"/>
      <c r="HA13" s="44"/>
      <c r="HB13" s="44"/>
      <c r="HC13" s="44"/>
      <c r="HD13" s="44"/>
      <c r="HE13" s="44"/>
      <c r="HF13" s="44"/>
      <c r="HG13" s="44"/>
      <c r="HH13" s="44"/>
      <c r="HI13" s="44"/>
      <c r="HJ13" s="44"/>
      <c r="HK13" s="44"/>
      <c r="HL13" s="44"/>
      <c r="HM13" s="44"/>
      <c r="HN13" s="44"/>
      <c r="HO13" s="44"/>
      <c r="HP13" s="44"/>
      <c r="HQ13" s="44"/>
      <c r="HR13" s="44"/>
      <c r="HS13" s="44"/>
      <c r="HT13" s="44"/>
      <c r="HU13" s="44"/>
      <c r="HV13" s="44"/>
      <c r="HW13" s="44"/>
      <c r="HX13" s="44"/>
      <c r="HY13" s="44"/>
      <c r="HZ13" s="44"/>
      <c r="IA13" s="44"/>
      <c r="IB13" s="44"/>
      <c r="IC13" s="44"/>
      <c r="ID13" s="44"/>
      <c r="IE13" s="44"/>
      <c r="IF13" s="44"/>
      <c r="IG13" s="44"/>
      <c r="IH13" s="44"/>
      <c r="II13" s="44"/>
      <c r="IJ13" s="44"/>
      <c r="IK13" s="44"/>
      <c r="IL13" s="44"/>
      <c r="IM13" s="44"/>
      <c r="IN13" s="44"/>
      <c r="IO13" s="44"/>
      <c r="IP13" s="44"/>
      <c r="IQ13" s="44"/>
      <c r="IR13" s="44"/>
      <c r="IS13" s="44"/>
      <c r="IT13" s="44"/>
      <c r="IU13" s="44"/>
      <c r="IV13" s="44"/>
      <c r="IW13" s="44"/>
      <c r="IX13" s="44"/>
      <c r="IY13" s="44"/>
      <c r="IZ13" s="44"/>
      <c r="JA13" s="44"/>
      <c r="JB13" s="44"/>
      <c r="JC13" s="44"/>
      <c r="JD13" s="44"/>
      <c r="JE13" s="44"/>
      <c r="JF13" s="44"/>
      <c r="JG13" s="44"/>
      <c r="JH13" s="44"/>
      <c r="JI13" s="44"/>
      <c r="JJ13" s="44"/>
      <c r="JK13" s="44"/>
      <c r="JL13" s="44"/>
      <c r="JM13" s="44"/>
      <c r="JN13" s="44"/>
      <c r="JO13" s="44"/>
      <c r="JP13" s="44"/>
      <c r="JQ13" s="44"/>
      <c r="JR13" s="44"/>
      <c r="JS13" s="44"/>
      <c r="JT13" s="44"/>
      <c r="JU13" s="44"/>
      <c r="JV13" s="44"/>
      <c r="JW13" s="44"/>
      <c r="JX13" s="44"/>
      <c r="JY13" s="44"/>
      <c r="JZ13" s="44"/>
      <c r="KA13" s="44"/>
      <c r="KB13" s="44"/>
      <c r="KC13" s="44"/>
      <c r="KD13" s="44"/>
      <c r="KE13" s="44"/>
      <c r="KF13" s="44"/>
      <c r="KG13" s="44"/>
      <c r="KH13" s="44"/>
      <c r="KI13" s="44"/>
      <c r="KJ13" s="44"/>
      <c r="KK13" s="44"/>
      <c r="KL13" s="44"/>
      <c r="KM13" s="44"/>
      <c r="KN13" s="44"/>
      <c r="KO13" s="44"/>
      <c r="KP13" s="44"/>
      <c r="KQ13" s="44"/>
      <c r="KR13" s="44"/>
      <c r="KS13" s="44"/>
      <c r="KT13" s="44"/>
      <c r="KU13" s="44"/>
      <c r="KV13" s="44"/>
      <c r="KW13" s="44"/>
      <c r="KX13" s="44"/>
      <c r="KY13" s="44"/>
      <c r="KZ13" s="44"/>
      <c r="LA13" s="44"/>
      <c r="LB13" s="44"/>
      <c r="LC13" s="44"/>
      <c r="LD13" s="44"/>
      <c r="LE13" s="44"/>
      <c r="LF13" s="44"/>
      <c r="LG13" s="44"/>
      <c r="LH13" s="44"/>
      <c r="LI13" s="44"/>
      <c r="LJ13" s="44"/>
      <c r="LK13" s="44"/>
      <c r="LL13" s="44"/>
      <c r="LM13" s="44"/>
      <c r="LN13" s="44"/>
      <c r="LO13" s="44"/>
      <c r="LP13" s="44"/>
      <c r="LQ13" s="44"/>
      <c r="LR13" s="44"/>
      <c r="LS13" s="44"/>
      <c r="LT13" s="44"/>
      <c r="LU13" s="44"/>
      <c r="LV13" s="44"/>
      <c r="LW13" s="44"/>
      <c r="LX13" s="44"/>
      <c r="LY13" s="44"/>
      <c r="LZ13" s="44"/>
      <c r="MA13" s="44"/>
      <c r="MB13" s="44"/>
      <c r="MC13" s="44"/>
      <c r="MD13" s="44"/>
      <c r="ME13" s="44"/>
      <c r="MF13" s="44"/>
      <c r="MG13" s="44"/>
      <c r="MH13" s="44"/>
      <c r="MI13" s="44"/>
      <c r="MJ13" s="44"/>
      <c r="MK13" s="44"/>
      <c r="ML13" s="44"/>
      <c r="MM13" s="44"/>
      <c r="MN13" s="44"/>
      <c r="MO13" s="44"/>
      <c r="MP13" s="44"/>
      <c r="MQ13" s="44"/>
      <c r="MR13" s="44"/>
      <c r="MS13" s="44"/>
      <c r="MT13" s="44"/>
      <c r="MU13" s="44"/>
      <c r="MV13" s="44"/>
      <c r="MW13" s="44"/>
      <c r="MX13" s="44"/>
      <c r="MY13" s="44"/>
      <c r="MZ13" s="44"/>
      <c r="NA13" s="44"/>
      <c r="NB13" s="44"/>
      <c r="NC13" s="44"/>
      <c r="ND13" s="44"/>
      <c r="NE13" s="44"/>
      <c r="NF13" s="44"/>
      <c r="NG13" s="44"/>
      <c r="NH13" s="44"/>
      <c r="NI13" s="44"/>
      <c r="NJ13" s="44"/>
      <c r="NK13" s="44"/>
      <c r="NL13" s="44"/>
      <c r="NM13" s="44"/>
      <c r="NN13" s="44"/>
      <c r="NO13" s="44"/>
      <c r="NP13" s="44"/>
      <c r="NQ13" s="44"/>
      <c r="NR13" s="44"/>
      <c r="NS13" s="44"/>
      <c r="NT13" s="44"/>
      <c r="NU13" s="44"/>
      <c r="NV13" s="44"/>
      <c r="NW13" s="44"/>
      <c r="NX13" s="44"/>
      <c r="NY13" s="44"/>
      <c r="NZ13" s="44"/>
      <c r="OA13" s="44"/>
      <c r="OB13" s="44"/>
      <c r="OC13" s="44"/>
      <c r="OD13" s="44"/>
      <c r="OE13" s="44"/>
      <c r="OF13" s="44"/>
      <c r="OG13" s="44"/>
      <c r="OH13" s="44"/>
      <c r="OI13" s="44"/>
      <c r="OJ13" s="44"/>
      <c r="OK13" s="44"/>
      <c r="OL13" s="44"/>
      <c r="OM13" s="44"/>
      <c r="ON13" s="44"/>
      <c r="OO13" s="44"/>
      <c r="OP13" s="44"/>
      <c r="OQ13" s="44"/>
      <c r="OR13" s="44"/>
      <c r="OS13" s="44"/>
      <c r="OT13" s="44"/>
      <c r="OU13" s="44"/>
      <c r="OV13" s="44"/>
      <c r="OW13" s="44"/>
      <c r="OX13" s="44"/>
      <c r="OY13" s="44"/>
      <c r="OZ13" s="44"/>
      <c r="PA13" s="44"/>
      <c r="PB13" s="44"/>
      <c r="PC13" s="44"/>
      <c r="PD13" s="44"/>
      <c r="PE13" s="44"/>
      <c r="PF13" s="44"/>
      <c r="PG13" s="44"/>
      <c r="PH13" s="44"/>
      <c r="PI13" s="44"/>
      <c r="PJ13" s="44"/>
      <c r="PK13" s="44"/>
      <c r="PL13" s="44"/>
      <c r="PM13" s="44"/>
      <c r="PN13" s="44"/>
      <c r="PO13" s="44"/>
      <c r="PP13" s="44"/>
      <c r="PQ13" s="44"/>
      <c r="PR13" s="44"/>
      <c r="PS13" s="44"/>
      <c r="PT13" s="44"/>
      <c r="PU13" s="44"/>
      <c r="PV13" s="44"/>
      <c r="PW13" s="44"/>
      <c r="PX13" s="44"/>
      <c r="PY13" s="44"/>
      <c r="PZ13" s="44"/>
      <c r="QA13" s="44"/>
      <c r="QB13" s="44"/>
      <c r="QC13" s="44"/>
      <c r="QD13" s="44"/>
      <c r="QE13" s="44"/>
      <c r="QF13" s="44"/>
      <c r="QG13" s="44"/>
      <c r="QH13" s="44"/>
      <c r="QI13" s="44"/>
      <c r="QJ13" s="44"/>
      <c r="QK13" s="44"/>
      <c r="QL13" s="44"/>
      <c r="QM13" s="44"/>
      <c r="QN13" s="44"/>
      <c r="QO13" s="44"/>
      <c r="QP13" s="44"/>
      <c r="QQ13" s="44"/>
      <c r="QR13" s="44"/>
      <c r="QS13" s="44"/>
      <c r="QT13" s="44"/>
      <c r="QU13" s="44"/>
      <c r="QV13" s="44"/>
      <c r="QW13" s="44"/>
      <c r="QX13" s="44"/>
      <c r="QY13" s="44"/>
      <c r="QZ13" s="44"/>
      <c r="RA13" s="44"/>
      <c r="RB13" s="44"/>
      <c r="RC13" s="44"/>
      <c r="RD13" s="44"/>
      <c r="RE13" s="44"/>
      <c r="RF13" s="44"/>
      <c r="RG13" s="44"/>
      <c r="RH13" s="44"/>
      <c r="RI13" s="44"/>
      <c r="RJ13" s="44"/>
      <c r="RK13" s="44"/>
      <c r="RL13" s="44"/>
      <c r="RM13" s="44"/>
      <c r="RN13" s="44"/>
      <c r="RO13" s="44"/>
      <c r="RP13" s="44"/>
      <c r="RQ13" s="44"/>
      <c r="RR13" s="44"/>
      <c r="RS13" s="44"/>
      <c r="RT13" s="44"/>
      <c r="RU13" s="44"/>
      <c r="RV13" s="44"/>
      <c r="RW13" s="44"/>
      <c r="RX13" s="44"/>
      <c r="RY13" s="44"/>
      <c r="RZ13" s="44"/>
      <c r="SA13" s="44"/>
      <c r="SB13" s="44"/>
      <c r="SC13" s="44"/>
      <c r="SD13" s="44"/>
      <c r="SE13" s="44"/>
      <c r="SF13" s="44"/>
      <c r="SG13" s="44"/>
      <c r="SH13" s="44"/>
      <c r="SI13" s="44"/>
      <c r="SJ13" s="44"/>
      <c r="SK13" s="44"/>
      <c r="SL13" s="44"/>
      <c r="SM13" s="44"/>
      <c r="SN13" s="44"/>
      <c r="SO13" s="44"/>
      <c r="SP13" s="44"/>
      <c r="SQ13" s="44"/>
      <c r="SR13" s="44"/>
      <c r="SS13" s="44"/>
      <c r="ST13" s="44"/>
      <c r="SU13" s="44"/>
      <c r="SV13" s="44"/>
      <c r="SW13" s="44"/>
      <c r="SX13" s="44"/>
      <c r="SY13" s="44"/>
      <c r="SZ13" s="44"/>
      <c r="TA13" s="44"/>
      <c r="TB13" s="44"/>
      <c r="TC13" s="44"/>
      <c r="TD13" s="44"/>
      <c r="TE13" s="44"/>
      <c r="TF13" s="44"/>
      <c r="TG13" s="44"/>
      <c r="TH13" s="44"/>
      <c r="TI13" s="44"/>
      <c r="TJ13" s="44"/>
      <c r="TK13" s="44"/>
      <c r="TL13" s="44"/>
      <c r="TM13" s="44"/>
      <c r="TN13" s="44"/>
      <c r="TO13" s="44"/>
      <c r="TP13" s="44"/>
      <c r="TQ13" s="44"/>
      <c r="TR13" s="44"/>
      <c r="TS13" s="44"/>
      <c r="TT13" s="44"/>
      <c r="TU13" s="44"/>
      <c r="TV13" s="44"/>
      <c r="TW13" s="44"/>
      <c r="TX13" s="44"/>
      <c r="TY13" s="44"/>
      <c r="TZ13" s="44"/>
      <c r="UA13" s="44"/>
      <c r="UB13" s="44"/>
      <c r="UC13" s="44"/>
      <c r="UD13" s="44"/>
      <c r="UE13" s="44"/>
      <c r="UF13" s="44"/>
      <c r="UG13" s="44"/>
      <c r="UH13" s="44"/>
      <c r="UI13" s="44"/>
      <c r="UJ13" s="44"/>
      <c r="UK13" s="44"/>
      <c r="UL13" s="44"/>
      <c r="UM13" s="44"/>
      <c r="UN13" s="44"/>
      <c r="UO13" s="44"/>
      <c r="UP13" s="44"/>
      <c r="UQ13" s="44"/>
      <c r="UR13" s="44"/>
      <c r="US13" s="44"/>
      <c r="UT13" s="44"/>
      <c r="UU13" s="44"/>
      <c r="UV13" s="44"/>
      <c r="UW13" s="44"/>
      <c r="UX13" s="44"/>
      <c r="UY13" s="44"/>
      <c r="UZ13" s="44"/>
      <c r="VA13" s="44"/>
      <c r="VB13" s="44"/>
      <c r="VC13" s="44"/>
      <c r="VD13" s="44"/>
      <c r="VE13" s="44"/>
      <c r="VF13" s="44"/>
      <c r="VG13" s="44"/>
      <c r="VH13" s="44"/>
      <c r="VI13" s="44"/>
      <c r="VJ13" s="44"/>
      <c r="VK13" s="44"/>
      <c r="VL13" s="44"/>
      <c r="VM13" s="44"/>
      <c r="VN13" s="44"/>
      <c r="VO13" s="44"/>
      <c r="VP13" s="44"/>
      <c r="VQ13" s="44"/>
      <c r="VR13" s="44"/>
      <c r="VS13" s="44"/>
      <c r="VT13" s="44"/>
      <c r="VU13" s="44"/>
      <c r="VV13" s="44"/>
      <c r="VW13" s="44"/>
      <c r="VX13" s="44"/>
      <c r="VY13" s="44"/>
      <c r="VZ13" s="44"/>
      <c r="WA13" s="44"/>
      <c r="WB13" s="44"/>
      <c r="WC13" s="44"/>
      <c r="WD13" s="44"/>
      <c r="WE13" s="44"/>
      <c r="WF13" s="44"/>
      <c r="WG13" s="44"/>
      <c r="WH13" s="44"/>
      <c r="WI13" s="44"/>
      <c r="WJ13" s="44"/>
      <c r="WK13" s="44"/>
      <c r="WL13" s="44"/>
      <c r="WM13" s="44"/>
      <c r="WN13" s="44"/>
      <c r="WO13" s="44"/>
      <c r="WP13" s="44"/>
      <c r="WQ13" s="44"/>
      <c r="WR13" s="44"/>
      <c r="WS13" s="44"/>
      <c r="WT13" s="44"/>
      <c r="WU13" s="44"/>
      <c r="WV13" s="44"/>
      <c r="WW13" s="44"/>
      <c r="WX13" s="44"/>
      <c r="WY13" s="44"/>
      <c r="WZ13" s="44"/>
      <c r="XA13" s="44"/>
      <c r="XB13" s="44"/>
      <c r="XC13" s="44"/>
      <c r="XD13" s="44"/>
      <c r="XE13" s="44"/>
      <c r="XF13" s="44"/>
      <c r="XG13" s="44"/>
      <c r="XH13" s="44"/>
      <c r="XI13" s="44"/>
      <c r="XJ13" s="44"/>
      <c r="XK13" s="44"/>
      <c r="XL13" s="44"/>
      <c r="XM13" s="44"/>
      <c r="XN13" s="44"/>
      <c r="XO13" s="44"/>
      <c r="XP13" s="44"/>
      <c r="XQ13" s="44"/>
      <c r="XR13" s="44"/>
      <c r="XS13" s="44"/>
      <c r="XT13" s="44"/>
      <c r="XU13" s="44"/>
      <c r="XV13" s="44"/>
      <c r="XW13" s="44"/>
      <c r="XX13" s="44"/>
      <c r="XY13" s="44"/>
      <c r="XZ13" s="44"/>
      <c r="YA13" s="44"/>
      <c r="YB13" s="44"/>
      <c r="YC13" s="44"/>
      <c r="YD13" s="44"/>
      <c r="YE13" s="44"/>
      <c r="YF13" s="44"/>
      <c r="YG13" s="44"/>
      <c r="YH13" s="44"/>
      <c r="YI13" s="44"/>
      <c r="YJ13" s="44"/>
      <c r="YK13" s="44"/>
      <c r="YL13" s="44"/>
      <c r="YM13" s="44"/>
      <c r="YN13" s="44"/>
      <c r="YO13" s="44"/>
      <c r="YP13" s="44"/>
      <c r="YQ13" s="44"/>
      <c r="YR13" s="44"/>
      <c r="YS13" s="44"/>
      <c r="YT13" s="44"/>
      <c r="YU13" s="44"/>
      <c r="YV13" s="44"/>
      <c r="YW13" s="44"/>
      <c r="YX13" s="44"/>
      <c r="YY13" s="44"/>
      <c r="YZ13" s="44"/>
      <c r="ZA13" s="44"/>
      <c r="ZB13" s="44"/>
      <c r="ZC13" s="44"/>
      <c r="ZD13" s="44"/>
      <c r="ZE13" s="44"/>
      <c r="ZF13" s="44"/>
      <c r="ZG13" s="44"/>
      <c r="ZH13" s="44"/>
      <c r="ZI13" s="44"/>
      <c r="ZJ13" s="44"/>
      <c r="ZK13" s="44"/>
      <c r="ZL13" s="44"/>
      <c r="ZM13" s="44"/>
      <c r="ZN13" s="44"/>
      <c r="ZO13" s="44"/>
      <c r="ZP13" s="44"/>
      <c r="ZQ13" s="44"/>
      <c r="ZR13" s="44"/>
      <c r="ZS13" s="44"/>
      <c r="ZT13" s="44"/>
      <c r="ZU13" s="44"/>
      <c r="ZV13" s="44"/>
      <c r="ZW13" s="44"/>
      <c r="ZX13" s="44"/>
      <c r="ZY13" s="44"/>
      <c r="ZZ13" s="44"/>
      <c r="AAA13" s="44"/>
      <c r="AAB13" s="44"/>
      <c r="AAC13" s="44"/>
      <c r="AAD13" s="44"/>
      <c r="AAE13" s="44"/>
      <c r="AAF13" s="44"/>
      <c r="AAG13" s="44"/>
      <c r="AAH13" s="44"/>
      <c r="AAI13" s="44"/>
      <c r="AAJ13" s="44"/>
      <c r="AAK13" s="44"/>
      <c r="AAL13" s="44"/>
      <c r="AAM13" s="44"/>
      <c r="AAN13" s="44"/>
      <c r="AAO13" s="44"/>
      <c r="AAP13" s="44"/>
      <c r="AAQ13" s="44"/>
      <c r="AAR13" s="44"/>
      <c r="AAS13" s="44"/>
      <c r="AAT13" s="44"/>
      <c r="AAU13" s="44"/>
      <c r="AAV13" s="44"/>
      <c r="AAW13" s="44"/>
      <c r="AAX13" s="44"/>
      <c r="AAY13" s="44"/>
      <c r="AAZ13" s="44"/>
      <c r="ABA13" s="44"/>
      <c r="ABB13" s="44"/>
      <c r="ABC13" s="44"/>
      <c r="ABD13" s="44"/>
      <c r="ABE13" s="44"/>
      <c r="ABF13" s="44"/>
      <c r="ABG13" s="44"/>
      <c r="ABH13" s="44"/>
      <c r="ABI13" s="44"/>
      <c r="ABJ13" s="44"/>
      <c r="ABK13" s="44"/>
      <c r="ABL13" s="44"/>
      <c r="ABM13" s="44"/>
      <c r="ABN13" s="44"/>
      <c r="ABO13" s="44"/>
      <c r="ABP13" s="44"/>
      <c r="ABQ13" s="44"/>
      <c r="ABR13" s="44"/>
      <c r="ABS13" s="44"/>
      <c r="ABT13" s="44"/>
      <c r="ABU13" s="44"/>
      <c r="ABV13" s="44"/>
      <c r="ABW13" s="44"/>
      <c r="ABX13" s="44"/>
      <c r="ABY13" s="44"/>
      <c r="ABZ13" s="44"/>
      <c r="ACA13" s="44"/>
      <c r="ACB13" s="44"/>
      <c r="ACC13" s="44"/>
      <c r="ACD13" s="44"/>
      <c r="ACE13" s="44"/>
      <c r="ACF13" s="44"/>
      <c r="ACG13" s="44"/>
      <c r="ACH13" s="44"/>
      <c r="ACI13" s="44"/>
      <c r="ACJ13" s="44"/>
      <c r="ACK13" s="44"/>
      <c r="ACL13" s="44"/>
      <c r="ACM13" s="44"/>
      <c r="ACN13" s="44"/>
      <c r="ACO13" s="44"/>
      <c r="ACP13" s="44"/>
      <c r="ACQ13" s="44"/>
      <c r="ACR13" s="44"/>
      <c r="ACS13" s="44"/>
      <c r="ACT13" s="44"/>
      <c r="ACU13" s="44"/>
      <c r="ACV13" s="44"/>
      <c r="ACW13" s="44"/>
      <c r="ACX13" s="44"/>
      <c r="ACY13" s="44"/>
      <c r="ACZ13" s="44"/>
      <c r="ADA13" s="44"/>
      <c r="ADB13" s="44"/>
      <c r="ADC13" s="44"/>
      <c r="ADD13" s="44"/>
      <c r="ADE13" s="44"/>
      <c r="ADF13" s="44"/>
      <c r="ADG13" s="44"/>
      <c r="ADH13" s="44"/>
      <c r="ADI13" s="44"/>
      <c r="ADJ13" s="44"/>
      <c r="ADK13" s="44"/>
      <c r="ADL13" s="44"/>
      <c r="ADM13" s="44"/>
      <c r="ADN13" s="44"/>
      <c r="ADO13" s="44"/>
      <c r="ADP13" s="44"/>
      <c r="ADQ13" s="44"/>
      <c r="ADR13" s="44"/>
      <c r="ADS13" s="44"/>
      <c r="ADT13" s="44"/>
      <c r="ADU13" s="44"/>
      <c r="ADV13" s="44"/>
      <c r="ADW13" s="44"/>
      <c r="ADX13" s="44"/>
      <c r="ADY13" s="44"/>
      <c r="ADZ13" s="44"/>
      <c r="AEA13" s="44"/>
      <c r="AEB13" s="44"/>
      <c r="AEC13" s="44"/>
      <c r="AED13" s="44"/>
      <c r="AEE13" s="44"/>
      <c r="AEF13" s="44"/>
      <c r="AEG13" s="44"/>
      <c r="AEH13" s="44"/>
      <c r="AEI13" s="44"/>
      <c r="AEJ13" s="44"/>
      <c r="AEK13" s="44"/>
      <c r="AEL13" s="44"/>
      <c r="AEM13" s="44"/>
      <c r="AEN13" s="44"/>
      <c r="AEO13" s="44"/>
      <c r="AEP13" s="44"/>
      <c r="AEQ13" s="44"/>
      <c r="AER13" s="44"/>
      <c r="AES13" s="44"/>
      <c r="AET13" s="44"/>
      <c r="AEU13" s="44"/>
      <c r="AEV13" s="44"/>
      <c r="AEW13" s="44"/>
      <c r="AEX13" s="44"/>
      <c r="AEY13" s="44"/>
      <c r="AEZ13" s="44"/>
      <c r="AFA13" s="44"/>
      <c r="AFB13" s="44"/>
      <c r="AFC13" s="44"/>
      <c r="AFD13" s="44"/>
      <c r="AFE13" s="44"/>
      <c r="AFF13" s="44"/>
      <c r="AFG13" s="44"/>
      <c r="AFH13" s="44"/>
      <c r="AFI13" s="44"/>
      <c r="AFJ13" s="44"/>
      <c r="AFK13" s="44"/>
      <c r="AFL13" s="44"/>
      <c r="AFM13" s="44"/>
      <c r="AFN13" s="44"/>
      <c r="AFO13" s="44"/>
      <c r="AFP13" s="44"/>
      <c r="AFQ13" s="44"/>
      <c r="AFR13" s="44"/>
      <c r="AFS13" s="44"/>
      <c r="AFT13" s="44"/>
      <c r="AFU13" s="44"/>
      <c r="AFV13" s="44"/>
      <c r="AFW13" s="44"/>
      <c r="AFX13" s="44"/>
      <c r="AFY13" s="44"/>
      <c r="AFZ13" s="44"/>
      <c r="AGA13" s="44"/>
      <c r="AGB13" s="44"/>
      <c r="AGC13" s="44"/>
      <c r="AGD13" s="44"/>
      <c r="AGE13" s="44"/>
      <c r="AGF13" s="44"/>
      <c r="AGG13" s="44"/>
      <c r="AGH13" s="44"/>
      <c r="AGI13" s="44"/>
      <c r="AGJ13" s="44"/>
      <c r="AGK13" s="44"/>
      <c r="AGL13" s="44"/>
      <c r="AGM13" s="44"/>
      <c r="AGN13" s="44"/>
      <c r="AGO13" s="44"/>
      <c r="AGP13" s="44"/>
      <c r="AGQ13" s="44"/>
      <c r="AGR13" s="44"/>
      <c r="AGS13" s="44"/>
      <c r="AGT13" s="44"/>
      <c r="AGU13" s="44"/>
      <c r="AGV13" s="44"/>
      <c r="AGW13" s="44"/>
      <c r="AGX13" s="44"/>
      <c r="AGY13" s="44"/>
      <c r="AGZ13" s="44"/>
      <c r="AHA13" s="44"/>
      <c r="AHB13" s="44"/>
      <c r="AHC13" s="44"/>
      <c r="AHD13" s="44"/>
      <c r="AHE13" s="44"/>
      <c r="AHF13" s="44"/>
      <c r="AHG13" s="44"/>
      <c r="AHH13" s="44"/>
      <c r="AHI13" s="44"/>
      <c r="AHJ13" s="44"/>
      <c r="AHK13" s="44"/>
      <c r="AHL13" s="44"/>
      <c r="AHM13" s="44"/>
      <c r="AHN13" s="44"/>
      <c r="AHO13" s="44"/>
      <c r="AHP13" s="44"/>
      <c r="AHQ13" s="44"/>
      <c r="AHR13" s="44"/>
      <c r="AHS13" s="44"/>
      <c r="AHT13" s="44"/>
      <c r="AHU13" s="44"/>
      <c r="AHV13" s="44"/>
      <c r="AHW13" s="44"/>
      <c r="AHX13" s="44"/>
      <c r="AHY13" s="44"/>
      <c r="AHZ13" s="44"/>
      <c r="AIA13" s="44"/>
      <c r="AIB13" s="44"/>
      <c r="AIC13" s="44"/>
      <c r="AID13" s="44"/>
      <c r="AIE13" s="44"/>
      <c r="AIF13" s="44"/>
      <c r="AIG13" s="44"/>
      <c r="AIH13" s="44"/>
      <c r="AII13" s="44"/>
      <c r="AIJ13" s="44"/>
      <c r="AIK13" s="44"/>
      <c r="AIL13" s="44"/>
      <c r="AIM13" s="44"/>
      <c r="AIN13" s="44"/>
      <c r="AIO13" s="44"/>
      <c r="AIP13" s="44"/>
      <c r="AIQ13" s="44"/>
      <c r="AIR13" s="44"/>
      <c r="AIS13" s="44"/>
      <c r="AIT13" s="44"/>
      <c r="AIU13" s="44"/>
      <c r="AIV13" s="44"/>
      <c r="AIW13" s="44"/>
      <c r="AIX13" s="44"/>
      <c r="AIY13" s="44"/>
      <c r="AIZ13" s="44"/>
      <c r="AJA13" s="44"/>
      <c r="AJB13" s="44"/>
      <c r="AJC13" s="44"/>
      <c r="AJD13" s="44"/>
      <c r="AJE13" s="44"/>
      <c r="AJF13" s="44"/>
      <c r="AJG13" s="44"/>
      <c r="AJH13" s="44"/>
      <c r="AJI13" s="44"/>
      <c r="AJJ13" s="44"/>
      <c r="AJK13" s="44"/>
      <c r="AJL13" s="44"/>
      <c r="AJM13" s="44"/>
      <c r="AJN13" s="44"/>
      <c r="AJO13" s="44"/>
      <c r="AJP13" s="44"/>
      <c r="AJQ13" s="44"/>
      <c r="AJR13" s="44"/>
      <c r="AJS13" s="44"/>
      <c r="AJT13" s="44"/>
      <c r="AJU13" s="44"/>
      <c r="AJV13" s="44"/>
      <c r="AJW13" s="44"/>
      <c r="AJX13" s="44"/>
      <c r="AJY13" s="44"/>
      <c r="AJZ13" s="44"/>
      <c r="AKA13" s="44"/>
      <c r="AKB13" s="44"/>
      <c r="AKC13" s="44"/>
      <c r="AKD13" s="44"/>
      <c r="AKE13" s="44"/>
      <c r="AKF13" s="44"/>
      <c r="AKG13" s="44"/>
      <c r="AKH13" s="44"/>
      <c r="AKI13" s="44"/>
      <c r="AKJ13" s="44"/>
      <c r="AKK13" s="44"/>
      <c r="AKL13" s="44"/>
      <c r="AKM13" s="44"/>
      <c r="AKN13" s="44"/>
      <c r="AKO13" s="44"/>
      <c r="AKP13" s="44"/>
      <c r="AKQ13" s="44"/>
      <c r="AKR13" s="44"/>
      <c r="AKS13" s="44"/>
      <c r="AKT13" s="44"/>
      <c r="AKU13" s="44"/>
      <c r="AKV13" s="44"/>
      <c r="AKW13" s="44"/>
      <c r="AKX13" s="44"/>
      <c r="AKY13" s="44"/>
      <c r="AKZ13" s="44"/>
      <c r="ALA13" s="44"/>
      <c r="ALB13" s="44"/>
      <c r="ALC13" s="44"/>
      <c r="ALD13" s="44"/>
      <c r="ALE13" s="44"/>
      <c r="ALF13" s="44"/>
      <c r="ALG13" s="44"/>
      <c r="ALH13" s="44"/>
      <c r="ALI13" s="44"/>
      <c r="ALJ13" s="44"/>
      <c r="ALK13" s="44"/>
      <c r="ALL13" s="44"/>
      <c r="ALM13" s="44"/>
      <c r="ALN13" s="44"/>
      <c r="ALO13" s="44"/>
      <c r="ALP13" s="44"/>
      <c r="ALQ13" s="44"/>
      <c r="ALR13" s="44"/>
      <c r="ALS13" s="44"/>
      <c r="ALT13" s="44"/>
      <c r="ALU13" s="44"/>
      <c r="ALV13" s="44"/>
      <c r="ALW13" s="44"/>
      <c r="ALX13" s="44"/>
      <c r="ALY13" s="44"/>
      <c r="ALZ13" s="44"/>
      <c r="AMA13" s="44"/>
      <c r="AMB13" s="44"/>
      <c r="AMC13" s="44"/>
      <c r="AMD13" s="44"/>
      <c r="AME13" s="44"/>
      <c r="AMF13" s="44"/>
      <c r="AMG13" s="44"/>
      <c r="AMH13" s="44"/>
      <c r="AMI13" s="44"/>
      <c r="AMJ13" s="44"/>
      <c r="AMK13" s="44"/>
      <c r="AML13" s="44"/>
      <c r="AMM13" s="44"/>
      <c r="AMN13" s="44"/>
      <c r="AMO13" s="44"/>
      <c r="AMP13" s="44"/>
      <c r="AMQ13" s="44"/>
    </row>
    <row r="14" spans="1:1031" x14ac:dyDescent="0.2">
      <c r="A14" s="42" t="s">
        <v>318</v>
      </c>
      <c r="B14" s="42" t="s">
        <v>319</v>
      </c>
      <c r="C14" s="42" t="s">
        <v>276</v>
      </c>
      <c r="D14" s="42" t="s">
        <v>320</v>
      </c>
      <c r="G14" s="42">
        <v>21</v>
      </c>
      <c r="H14" s="42" t="s">
        <v>278</v>
      </c>
      <c r="J14" s="42">
        <v>120</v>
      </c>
      <c r="K14" s="42" t="s">
        <v>285</v>
      </c>
      <c r="Q14" s="42" t="s">
        <v>322</v>
      </c>
      <c r="V14" s="43">
        <v>44607</v>
      </c>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c r="EJ14" s="44"/>
      <c r="EK14" s="44"/>
      <c r="EL14" s="44"/>
      <c r="EM14" s="44"/>
      <c r="EN14" s="44"/>
      <c r="EO14" s="44"/>
      <c r="EP14" s="44"/>
      <c r="EQ14" s="44"/>
      <c r="ER14" s="44"/>
      <c r="ES14" s="44"/>
      <c r="ET14" s="44"/>
      <c r="EU14" s="44"/>
      <c r="EV14" s="44"/>
      <c r="EW14" s="44"/>
      <c r="EX14" s="44"/>
      <c r="EY14" s="44"/>
      <c r="EZ14" s="44"/>
      <c r="FA14" s="44"/>
      <c r="FB14" s="44"/>
      <c r="FC14" s="44"/>
      <c r="FD14" s="44"/>
      <c r="FE14" s="44"/>
      <c r="FF14" s="44"/>
      <c r="FG14" s="44"/>
      <c r="FH14" s="44"/>
      <c r="FI14" s="44"/>
      <c r="FJ14" s="44"/>
      <c r="FK14" s="44"/>
      <c r="FL14" s="44"/>
      <c r="FM14" s="44"/>
      <c r="FN14" s="44"/>
      <c r="FO14" s="44"/>
      <c r="FP14" s="44"/>
      <c r="FQ14" s="44"/>
      <c r="FR14" s="44"/>
      <c r="FS14" s="44"/>
      <c r="FT14" s="44"/>
      <c r="FU14" s="44"/>
      <c r="FV14" s="44"/>
      <c r="FW14" s="44"/>
      <c r="FX14" s="44"/>
      <c r="FY14" s="44"/>
      <c r="FZ14" s="44"/>
      <c r="GA14" s="44"/>
      <c r="GB14" s="44"/>
      <c r="GC14" s="44"/>
      <c r="GD14" s="44"/>
      <c r="GE14" s="44"/>
      <c r="GF14" s="44"/>
      <c r="GG14" s="44"/>
      <c r="GH14" s="44"/>
      <c r="GI14" s="44"/>
      <c r="GJ14" s="44"/>
      <c r="GK14" s="44"/>
      <c r="GL14" s="44"/>
      <c r="GM14" s="44"/>
      <c r="GN14" s="44"/>
      <c r="GO14" s="44"/>
      <c r="GP14" s="44"/>
      <c r="GQ14" s="44"/>
      <c r="GR14" s="44"/>
      <c r="GS14" s="44"/>
      <c r="GT14" s="44"/>
      <c r="GU14" s="44"/>
      <c r="GV14" s="44"/>
      <c r="GW14" s="44"/>
      <c r="GX14" s="44"/>
      <c r="GY14" s="44"/>
      <c r="GZ14" s="44"/>
      <c r="HA14" s="44"/>
      <c r="HB14" s="44"/>
      <c r="HC14" s="44"/>
      <c r="HD14" s="44"/>
      <c r="HE14" s="44"/>
      <c r="HF14" s="44"/>
      <c r="HG14" s="44"/>
      <c r="HH14" s="44"/>
      <c r="HI14" s="44"/>
      <c r="HJ14" s="44"/>
      <c r="HK14" s="44"/>
      <c r="HL14" s="44"/>
      <c r="HM14" s="44"/>
      <c r="HN14" s="44"/>
      <c r="HO14" s="44"/>
      <c r="HP14" s="44"/>
      <c r="HQ14" s="44"/>
      <c r="HR14" s="44"/>
      <c r="HS14" s="44"/>
      <c r="HT14" s="44"/>
      <c r="HU14" s="44"/>
      <c r="HV14" s="44"/>
      <c r="HW14" s="44"/>
      <c r="HX14" s="44"/>
      <c r="HY14" s="44"/>
      <c r="HZ14" s="44"/>
      <c r="IA14" s="44"/>
      <c r="IB14" s="44"/>
      <c r="IC14" s="44"/>
      <c r="ID14" s="44"/>
      <c r="IE14" s="44"/>
      <c r="IF14" s="44"/>
      <c r="IG14" s="44"/>
      <c r="IH14" s="44"/>
      <c r="II14" s="44"/>
      <c r="IJ14" s="44"/>
      <c r="IK14" s="44"/>
      <c r="IL14" s="44"/>
      <c r="IM14" s="44"/>
      <c r="IN14" s="44"/>
      <c r="IO14" s="44"/>
      <c r="IP14" s="44"/>
      <c r="IQ14" s="44"/>
      <c r="IR14" s="44"/>
      <c r="IS14" s="44"/>
      <c r="IT14" s="44"/>
      <c r="IU14" s="44"/>
      <c r="IV14" s="44"/>
      <c r="IW14" s="44"/>
      <c r="IX14" s="44"/>
      <c r="IY14" s="44"/>
      <c r="IZ14" s="44"/>
      <c r="JA14" s="44"/>
      <c r="JB14" s="44"/>
      <c r="JC14" s="44"/>
      <c r="JD14" s="44"/>
      <c r="JE14" s="44"/>
      <c r="JF14" s="44"/>
      <c r="JG14" s="44"/>
      <c r="JH14" s="44"/>
      <c r="JI14" s="44"/>
      <c r="JJ14" s="44"/>
      <c r="JK14" s="44"/>
      <c r="JL14" s="44"/>
      <c r="JM14" s="44"/>
      <c r="JN14" s="44"/>
      <c r="JO14" s="44"/>
      <c r="JP14" s="44"/>
      <c r="JQ14" s="44"/>
      <c r="JR14" s="44"/>
      <c r="JS14" s="44"/>
      <c r="JT14" s="44"/>
      <c r="JU14" s="44"/>
      <c r="JV14" s="44"/>
      <c r="JW14" s="44"/>
      <c r="JX14" s="44"/>
      <c r="JY14" s="44"/>
      <c r="JZ14" s="44"/>
      <c r="KA14" s="44"/>
      <c r="KB14" s="44"/>
      <c r="KC14" s="44"/>
      <c r="KD14" s="44"/>
      <c r="KE14" s="44"/>
      <c r="KF14" s="44"/>
      <c r="KG14" s="44"/>
      <c r="KH14" s="44"/>
      <c r="KI14" s="44"/>
      <c r="KJ14" s="44"/>
      <c r="KK14" s="44"/>
      <c r="KL14" s="44"/>
      <c r="KM14" s="44"/>
      <c r="KN14" s="44"/>
      <c r="KO14" s="44"/>
      <c r="KP14" s="44"/>
      <c r="KQ14" s="44"/>
      <c r="KR14" s="44"/>
      <c r="KS14" s="44"/>
      <c r="KT14" s="44"/>
      <c r="KU14" s="44"/>
      <c r="KV14" s="44"/>
      <c r="KW14" s="44"/>
      <c r="KX14" s="44"/>
      <c r="KY14" s="44"/>
      <c r="KZ14" s="44"/>
      <c r="LA14" s="44"/>
      <c r="LB14" s="44"/>
      <c r="LC14" s="44"/>
      <c r="LD14" s="44"/>
      <c r="LE14" s="44"/>
      <c r="LF14" s="44"/>
      <c r="LG14" s="44"/>
      <c r="LH14" s="44"/>
      <c r="LI14" s="44"/>
      <c r="LJ14" s="44"/>
      <c r="LK14" s="44"/>
      <c r="LL14" s="44"/>
      <c r="LM14" s="44"/>
      <c r="LN14" s="44"/>
      <c r="LO14" s="44"/>
      <c r="LP14" s="44"/>
      <c r="LQ14" s="44"/>
      <c r="LR14" s="44"/>
      <c r="LS14" s="44"/>
      <c r="LT14" s="44"/>
      <c r="LU14" s="44"/>
      <c r="LV14" s="44"/>
      <c r="LW14" s="44"/>
      <c r="LX14" s="44"/>
      <c r="LY14" s="44"/>
      <c r="LZ14" s="44"/>
      <c r="MA14" s="44"/>
      <c r="MB14" s="44"/>
      <c r="MC14" s="44"/>
      <c r="MD14" s="44"/>
      <c r="ME14" s="44"/>
      <c r="MF14" s="44"/>
      <c r="MG14" s="44"/>
      <c r="MH14" s="44"/>
      <c r="MI14" s="44"/>
      <c r="MJ14" s="44"/>
      <c r="MK14" s="44"/>
      <c r="ML14" s="44"/>
      <c r="MM14" s="44"/>
      <c r="MN14" s="44"/>
      <c r="MO14" s="44"/>
      <c r="MP14" s="44"/>
      <c r="MQ14" s="44"/>
      <c r="MR14" s="44"/>
      <c r="MS14" s="44"/>
      <c r="MT14" s="44"/>
      <c r="MU14" s="44"/>
      <c r="MV14" s="44"/>
      <c r="MW14" s="44"/>
      <c r="MX14" s="44"/>
      <c r="MY14" s="44"/>
      <c r="MZ14" s="44"/>
      <c r="NA14" s="44"/>
      <c r="NB14" s="44"/>
      <c r="NC14" s="44"/>
      <c r="ND14" s="44"/>
      <c r="NE14" s="44"/>
      <c r="NF14" s="44"/>
      <c r="NG14" s="44"/>
      <c r="NH14" s="44"/>
      <c r="NI14" s="44"/>
      <c r="NJ14" s="44"/>
      <c r="NK14" s="44"/>
      <c r="NL14" s="44"/>
      <c r="NM14" s="44"/>
      <c r="NN14" s="44"/>
      <c r="NO14" s="44"/>
      <c r="NP14" s="44"/>
      <c r="NQ14" s="44"/>
      <c r="NR14" s="44"/>
      <c r="NS14" s="44"/>
      <c r="NT14" s="44"/>
      <c r="NU14" s="44"/>
      <c r="NV14" s="44"/>
      <c r="NW14" s="44"/>
      <c r="NX14" s="44"/>
      <c r="NY14" s="44"/>
      <c r="NZ14" s="44"/>
      <c r="OA14" s="44"/>
      <c r="OB14" s="44"/>
      <c r="OC14" s="44"/>
      <c r="OD14" s="44"/>
      <c r="OE14" s="44"/>
      <c r="OF14" s="44"/>
      <c r="OG14" s="44"/>
      <c r="OH14" s="44"/>
      <c r="OI14" s="44"/>
      <c r="OJ14" s="44"/>
      <c r="OK14" s="44"/>
      <c r="OL14" s="44"/>
      <c r="OM14" s="44"/>
      <c r="ON14" s="44"/>
      <c r="OO14" s="44"/>
      <c r="OP14" s="44"/>
      <c r="OQ14" s="44"/>
      <c r="OR14" s="44"/>
      <c r="OS14" s="44"/>
      <c r="OT14" s="44"/>
      <c r="OU14" s="44"/>
      <c r="OV14" s="44"/>
      <c r="OW14" s="44"/>
      <c r="OX14" s="44"/>
      <c r="OY14" s="44"/>
      <c r="OZ14" s="44"/>
      <c r="PA14" s="44"/>
      <c r="PB14" s="44"/>
      <c r="PC14" s="44"/>
      <c r="PD14" s="44"/>
      <c r="PE14" s="44"/>
      <c r="PF14" s="44"/>
      <c r="PG14" s="44"/>
      <c r="PH14" s="44"/>
      <c r="PI14" s="44"/>
      <c r="PJ14" s="44"/>
      <c r="PK14" s="44"/>
      <c r="PL14" s="44"/>
      <c r="PM14" s="44"/>
      <c r="PN14" s="44"/>
      <c r="PO14" s="44"/>
      <c r="PP14" s="44"/>
      <c r="PQ14" s="44"/>
      <c r="PR14" s="44"/>
      <c r="PS14" s="44"/>
      <c r="PT14" s="44"/>
      <c r="PU14" s="44"/>
      <c r="PV14" s="44"/>
      <c r="PW14" s="44"/>
      <c r="PX14" s="44"/>
      <c r="PY14" s="44"/>
      <c r="PZ14" s="44"/>
      <c r="QA14" s="44"/>
      <c r="QB14" s="44"/>
      <c r="QC14" s="44"/>
      <c r="QD14" s="44"/>
      <c r="QE14" s="44"/>
      <c r="QF14" s="44"/>
      <c r="QG14" s="44"/>
      <c r="QH14" s="44"/>
      <c r="QI14" s="44"/>
      <c r="QJ14" s="44"/>
      <c r="QK14" s="44"/>
      <c r="QL14" s="44"/>
      <c r="QM14" s="44"/>
      <c r="QN14" s="44"/>
      <c r="QO14" s="44"/>
      <c r="QP14" s="44"/>
      <c r="QQ14" s="44"/>
      <c r="QR14" s="44"/>
      <c r="QS14" s="44"/>
      <c r="QT14" s="44"/>
      <c r="QU14" s="44"/>
      <c r="QV14" s="44"/>
      <c r="QW14" s="44"/>
      <c r="QX14" s="44"/>
      <c r="QY14" s="44"/>
      <c r="QZ14" s="44"/>
      <c r="RA14" s="44"/>
      <c r="RB14" s="44"/>
      <c r="RC14" s="44"/>
      <c r="RD14" s="44"/>
      <c r="RE14" s="44"/>
      <c r="RF14" s="44"/>
      <c r="RG14" s="44"/>
      <c r="RH14" s="44"/>
      <c r="RI14" s="44"/>
      <c r="RJ14" s="44"/>
      <c r="RK14" s="44"/>
      <c r="RL14" s="44"/>
      <c r="RM14" s="44"/>
      <c r="RN14" s="44"/>
      <c r="RO14" s="44"/>
      <c r="RP14" s="44"/>
      <c r="RQ14" s="44"/>
      <c r="RR14" s="44"/>
      <c r="RS14" s="44"/>
      <c r="RT14" s="44"/>
      <c r="RU14" s="44"/>
      <c r="RV14" s="44"/>
      <c r="RW14" s="44"/>
      <c r="RX14" s="44"/>
      <c r="RY14" s="44"/>
      <c r="RZ14" s="44"/>
      <c r="SA14" s="44"/>
      <c r="SB14" s="44"/>
      <c r="SC14" s="44"/>
      <c r="SD14" s="44"/>
      <c r="SE14" s="44"/>
      <c r="SF14" s="44"/>
      <c r="SG14" s="44"/>
      <c r="SH14" s="44"/>
      <c r="SI14" s="44"/>
      <c r="SJ14" s="44"/>
      <c r="SK14" s="44"/>
      <c r="SL14" s="44"/>
      <c r="SM14" s="44"/>
      <c r="SN14" s="44"/>
      <c r="SO14" s="44"/>
      <c r="SP14" s="44"/>
      <c r="SQ14" s="44"/>
      <c r="SR14" s="44"/>
      <c r="SS14" s="44"/>
      <c r="ST14" s="44"/>
      <c r="SU14" s="44"/>
      <c r="SV14" s="44"/>
      <c r="SW14" s="44"/>
      <c r="SX14" s="44"/>
      <c r="SY14" s="44"/>
      <c r="SZ14" s="44"/>
      <c r="TA14" s="44"/>
      <c r="TB14" s="44"/>
      <c r="TC14" s="44"/>
      <c r="TD14" s="44"/>
      <c r="TE14" s="44"/>
      <c r="TF14" s="44"/>
      <c r="TG14" s="44"/>
      <c r="TH14" s="44"/>
      <c r="TI14" s="44"/>
      <c r="TJ14" s="44"/>
      <c r="TK14" s="44"/>
      <c r="TL14" s="44"/>
      <c r="TM14" s="44"/>
      <c r="TN14" s="44"/>
      <c r="TO14" s="44"/>
      <c r="TP14" s="44"/>
      <c r="TQ14" s="44"/>
      <c r="TR14" s="44"/>
      <c r="TS14" s="44"/>
      <c r="TT14" s="44"/>
      <c r="TU14" s="44"/>
      <c r="TV14" s="44"/>
      <c r="TW14" s="44"/>
      <c r="TX14" s="44"/>
      <c r="TY14" s="44"/>
      <c r="TZ14" s="44"/>
      <c r="UA14" s="44"/>
      <c r="UB14" s="44"/>
      <c r="UC14" s="44"/>
      <c r="UD14" s="44"/>
      <c r="UE14" s="44"/>
      <c r="UF14" s="44"/>
      <c r="UG14" s="44"/>
      <c r="UH14" s="44"/>
      <c r="UI14" s="44"/>
      <c r="UJ14" s="44"/>
      <c r="UK14" s="44"/>
      <c r="UL14" s="44"/>
      <c r="UM14" s="44"/>
      <c r="UN14" s="44"/>
      <c r="UO14" s="44"/>
      <c r="UP14" s="44"/>
      <c r="UQ14" s="44"/>
      <c r="UR14" s="44"/>
      <c r="US14" s="44"/>
      <c r="UT14" s="44"/>
      <c r="UU14" s="44"/>
      <c r="UV14" s="44"/>
      <c r="UW14" s="44"/>
      <c r="UX14" s="44"/>
      <c r="UY14" s="44"/>
      <c r="UZ14" s="44"/>
      <c r="VA14" s="44"/>
      <c r="VB14" s="44"/>
      <c r="VC14" s="44"/>
      <c r="VD14" s="44"/>
      <c r="VE14" s="44"/>
      <c r="VF14" s="44"/>
      <c r="VG14" s="44"/>
      <c r="VH14" s="44"/>
      <c r="VI14" s="44"/>
      <c r="VJ14" s="44"/>
      <c r="VK14" s="44"/>
      <c r="VL14" s="44"/>
      <c r="VM14" s="44"/>
      <c r="VN14" s="44"/>
      <c r="VO14" s="44"/>
      <c r="VP14" s="44"/>
      <c r="VQ14" s="44"/>
      <c r="VR14" s="44"/>
      <c r="VS14" s="44"/>
      <c r="VT14" s="44"/>
      <c r="VU14" s="44"/>
      <c r="VV14" s="44"/>
      <c r="VW14" s="44"/>
      <c r="VX14" s="44"/>
      <c r="VY14" s="44"/>
      <c r="VZ14" s="44"/>
      <c r="WA14" s="44"/>
      <c r="WB14" s="44"/>
      <c r="WC14" s="44"/>
      <c r="WD14" s="44"/>
      <c r="WE14" s="44"/>
      <c r="WF14" s="44"/>
      <c r="WG14" s="44"/>
      <c r="WH14" s="44"/>
      <c r="WI14" s="44"/>
      <c r="WJ14" s="44"/>
      <c r="WK14" s="44"/>
      <c r="WL14" s="44"/>
      <c r="WM14" s="44"/>
      <c r="WN14" s="44"/>
      <c r="WO14" s="44"/>
      <c r="WP14" s="44"/>
      <c r="WQ14" s="44"/>
      <c r="WR14" s="44"/>
      <c r="WS14" s="44"/>
      <c r="WT14" s="44"/>
      <c r="WU14" s="44"/>
      <c r="WV14" s="44"/>
      <c r="WW14" s="44"/>
      <c r="WX14" s="44"/>
      <c r="WY14" s="44"/>
      <c r="WZ14" s="44"/>
      <c r="XA14" s="44"/>
      <c r="XB14" s="44"/>
      <c r="XC14" s="44"/>
      <c r="XD14" s="44"/>
      <c r="XE14" s="44"/>
      <c r="XF14" s="44"/>
      <c r="XG14" s="44"/>
      <c r="XH14" s="44"/>
      <c r="XI14" s="44"/>
      <c r="XJ14" s="44"/>
      <c r="XK14" s="44"/>
      <c r="XL14" s="44"/>
      <c r="XM14" s="44"/>
      <c r="XN14" s="44"/>
      <c r="XO14" s="44"/>
      <c r="XP14" s="44"/>
      <c r="XQ14" s="44"/>
      <c r="XR14" s="44"/>
      <c r="XS14" s="44"/>
      <c r="XT14" s="44"/>
      <c r="XU14" s="44"/>
      <c r="XV14" s="44"/>
      <c r="XW14" s="44"/>
      <c r="XX14" s="44"/>
      <c r="XY14" s="44"/>
      <c r="XZ14" s="44"/>
      <c r="YA14" s="44"/>
      <c r="YB14" s="44"/>
      <c r="YC14" s="44"/>
      <c r="YD14" s="44"/>
      <c r="YE14" s="44"/>
      <c r="YF14" s="44"/>
      <c r="YG14" s="44"/>
      <c r="YH14" s="44"/>
      <c r="YI14" s="44"/>
      <c r="YJ14" s="44"/>
      <c r="YK14" s="44"/>
      <c r="YL14" s="44"/>
      <c r="YM14" s="44"/>
      <c r="YN14" s="44"/>
      <c r="YO14" s="44"/>
      <c r="YP14" s="44"/>
      <c r="YQ14" s="44"/>
      <c r="YR14" s="44"/>
      <c r="YS14" s="44"/>
      <c r="YT14" s="44"/>
      <c r="YU14" s="44"/>
      <c r="YV14" s="44"/>
      <c r="YW14" s="44"/>
      <c r="YX14" s="44"/>
      <c r="YY14" s="44"/>
      <c r="YZ14" s="44"/>
      <c r="ZA14" s="44"/>
      <c r="ZB14" s="44"/>
      <c r="ZC14" s="44"/>
      <c r="ZD14" s="44"/>
      <c r="ZE14" s="44"/>
      <c r="ZF14" s="44"/>
      <c r="ZG14" s="44"/>
      <c r="ZH14" s="44"/>
      <c r="ZI14" s="44"/>
      <c r="ZJ14" s="44"/>
      <c r="ZK14" s="44"/>
      <c r="ZL14" s="44"/>
      <c r="ZM14" s="44"/>
      <c r="ZN14" s="44"/>
      <c r="ZO14" s="44"/>
      <c r="ZP14" s="44"/>
      <c r="ZQ14" s="44"/>
      <c r="ZR14" s="44"/>
      <c r="ZS14" s="44"/>
      <c r="ZT14" s="44"/>
      <c r="ZU14" s="44"/>
      <c r="ZV14" s="44"/>
      <c r="ZW14" s="44"/>
      <c r="ZX14" s="44"/>
      <c r="ZY14" s="44"/>
      <c r="ZZ14" s="44"/>
      <c r="AAA14" s="44"/>
      <c r="AAB14" s="44"/>
      <c r="AAC14" s="44"/>
      <c r="AAD14" s="44"/>
      <c r="AAE14" s="44"/>
      <c r="AAF14" s="44"/>
      <c r="AAG14" s="44"/>
      <c r="AAH14" s="44"/>
      <c r="AAI14" s="44"/>
      <c r="AAJ14" s="44"/>
      <c r="AAK14" s="44"/>
      <c r="AAL14" s="44"/>
      <c r="AAM14" s="44"/>
      <c r="AAN14" s="44"/>
      <c r="AAO14" s="44"/>
      <c r="AAP14" s="44"/>
      <c r="AAQ14" s="44"/>
      <c r="AAR14" s="44"/>
      <c r="AAS14" s="44"/>
      <c r="AAT14" s="44"/>
      <c r="AAU14" s="44"/>
      <c r="AAV14" s="44"/>
      <c r="AAW14" s="44"/>
      <c r="AAX14" s="44"/>
      <c r="AAY14" s="44"/>
      <c r="AAZ14" s="44"/>
      <c r="ABA14" s="44"/>
      <c r="ABB14" s="44"/>
      <c r="ABC14" s="44"/>
      <c r="ABD14" s="44"/>
      <c r="ABE14" s="44"/>
      <c r="ABF14" s="44"/>
      <c r="ABG14" s="44"/>
      <c r="ABH14" s="44"/>
      <c r="ABI14" s="44"/>
      <c r="ABJ14" s="44"/>
      <c r="ABK14" s="44"/>
      <c r="ABL14" s="44"/>
      <c r="ABM14" s="44"/>
      <c r="ABN14" s="44"/>
      <c r="ABO14" s="44"/>
      <c r="ABP14" s="44"/>
      <c r="ABQ14" s="44"/>
      <c r="ABR14" s="44"/>
      <c r="ABS14" s="44"/>
      <c r="ABT14" s="44"/>
      <c r="ABU14" s="44"/>
      <c r="ABV14" s="44"/>
      <c r="ABW14" s="44"/>
      <c r="ABX14" s="44"/>
      <c r="ABY14" s="44"/>
      <c r="ABZ14" s="44"/>
      <c r="ACA14" s="44"/>
      <c r="ACB14" s="44"/>
      <c r="ACC14" s="44"/>
      <c r="ACD14" s="44"/>
      <c r="ACE14" s="44"/>
      <c r="ACF14" s="44"/>
      <c r="ACG14" s="44"/>
      <c r="ACH14" s="44"/>
      <c r="ACI14" s="44"/>
      <c r="ACJ14" s="44"/>
      <c r="ACK14" s="44"/>
      <c r="ACL14" s="44"/>
      <c r="ACM14" s="44"/>
      <c r="ACN14" s="44"/>
      <c r="ACO14" s="44"/>
      <c r="ACP14" s="44"/>
      <c r="ACQ14" s="44"/>
      <c r="ACR14" s="44"/>
      <c r="ACS14" s="44"/>
      <c r="ACT14" s="44"/>
      <c r="ACU14" s="44"/>
      <c r="ACV14" s="44"/>
      <c r="ACW14" s="44"/>
      <c r="ACX14" s="44"/>
      <c r="ACY14" s="44"/>
      <c r="ACZ14" s="44"/>
      <c r="ADA14" s="44"/>
      <c r="ADB14" s="44"/>
      <c r="ADC14" s="44"/>
      <c r="ADD14" s="44"/>
      <c r="ADE14" s="44"/>
      <c r="ADF14" s="44"/>
      <c r="ADG14" s="44"/>
      <c r="ADH14" s="44"/>
      <c r="ADI14" s="44"/>
      <c r="ADJ14" s="44"/>
      <c r="ADK14" s="44"/>
      <c r="ADL14" s="44"/>
      <c r="ADM14" s="44"/>
      <c r="ADN14" s="44"/>
      <c r="ADO14" s="44"/>
      <c r="ADP14" s="44"/>
      <c r="ADQ14" s="44"/>
      <c r="ADR14" s="44"/>
      <c r="ADS14" s="44"/>
      <c r="ADT14" s="44"/>
      <c r="ADU14" s="44"/>
      <c r="ADV14" s="44"/>
      <c r="ADW14" s="44"/>
      <c r="ADX14" s="44"/>
      <c r="ADY14" s="44"/>
      <c r="ADZ14" s="44"/>
      <c r="AEA14" s="44"/>
      <c r="AEB14" s="44"/>
      <c r="AEC14" s="44"/>
      <c r="AED14" s="44"/>
      <c r="AEE14" s="44"/>
      <c r="AEF14" s="44"/>
      <c r="AEG14" s="44"/>
      <c r="AEH14" s="44"/>
      <c r="AEI14" s="44"/>
      <c r="AEJ14" s="44"/>
      <c r="AEK14" s="44"/>
      <c r="AEL14" s="44"/>
      <c r="AEM14" s="44"/>
      <c r="AEN14" s="44"/>
      <c r="AEO14" s="44"/>
      <c r="AEP14" s="44"/>
      <c r="AEQ14" s="44"/>
      <c r="AER14" s="44"/>
      <c r="AES14" s="44"/>
      <c r="AET14" s="44"/>
      <c r="AEU14" s="44"/>
      <c r="AEV14" s="44"/>
      <c r="AEW14" s="44"/>
      <c r="AEX14" s="44"/>
      <c r="AEY14" s="44"/>
      <c r="AEZ14" s="44"/>
      <c r="AFA14" s="44"/>
      <c r="AFB14" s="44"/>
      <c r="AFC14" s="44"/>
      <c r="AFD14" s="44"/>
      <c r="AFE14" s="44"/>
      <c r="AFF14" s="44"/>
      <c r="AFG14" s="44"/>
      <c r="AFH14" s="44"/>
      <c r="AFI14" s="44"/>
      <c r="AFJ14" s="44"/>
      <c r="AFK14" s="44"/>
      <c r="AFL14" s="44"/>
      <c r="AFM14" s="44"/>
      <c r="AFN14" s="44"/>
      <c r="AFO14" s="44"/>
      <c r="AFP14" s="44"/>
      <c r="AFQ14" s="44"/>
      <c r="AFR14" s="44"/>
      <c r="AFS14" s="44"/>
      <c r="AFT14" s="44"/>
      <c r="AFU14" s="44"/>
      <c r="AFV14" s="44"/>
      <c r="AFW14" s="44"/>
      <c r="AFX14" s="44"/>
      <c r="AFY14" s="44"/>
      <c r="AFZ14" s="44"/>
      <c r="AGA14" s="44"/>
      <c r="AGB14" s="44"/>
      <c r="AGC14" s="44"/>
      <c r="AGD14" s="44"/>
      <c r="AGE14" s="44"/>
      <c r="AGF14" s="44"/>
      <c r="AGG14" s="44"/>
      <c r="AGH14" s="44"/>
      <c r="AGI14" s="44"/>
      <c r="AGJ14" s="44"/>
      <c r="AGK14" s="44"/>
      <c r="AGL14" s="44"/>
      <c r="AGM14" s="44"/>
      <c r="AGN14" s="44"/>
      <c r="AGO14" s="44"/>
      <c r="AGP14" s="44"/>
      <c r="AGQ14" s="44"/>
      <c r="AGR14" s="44"/>
      <c r="AGS14" s="44"/>
      <c r="AGT14" s="44"/>
      <c r="AGU14" s="44"/>
      <c r="AGV14" s="44"/>
      <c r="AGW14" s="44"/>
      <c r="AGX14" s="44"/>
      <c r="AGY14" s="44"/>
      <c r="AGZ14" s="44"/>
      <c r="AHA14" s="44"/>
      <c r="AHB14" s="44"/>
      <c r="AHC14" s="44"/>
      <c r="AHD14" s="44"/>
      <c r="AHE14" s="44"/>
      <c r="AHF14" s="44"/>
      <c r="AHG14" s="44"/>
      <c r="AHH14" s="44"/>
      <c r="AHI14" s="44"/>
      <c r="AHJ14" s="44"/>
      <c r="AHK14" s="44"/>
      <c r="AHL14" s="44"/>
      <c r="AHM14" s="44"/>
      <c r="AHN14" s="44"/>
      <c r="AHO14" s="44"/>
      <c r="AHP14" s="44"/>
      <c r="AHQ14" s="44"/>
      <c r="AHR14" s="44"/>
      <c r="AHS14" s="44"/>
      <c r="AHT14" s="44"/>
      <c r="AHU14" s="44"/>
      <c r="AHV14" s="44"/>
      <c r="AHW14" s="44"/>
      <c r="AHX14" s="44"/>
      <c r="AHY14" s="44"/>
      <c r="AHZ14" s="44"/>
      <c r="AIA14" s="44"/>
      <c r="AIB14" s="44"/>
      <c r="AIC14" s="44"/>
      <c r="AID14" s="44"/>
      <c r="AIE14" s="44"/>
      <c r="AIF14" s="44"/>
      <c r="AIG14" s="44"/>
      <c r="AIH14" s="44"/>
      <c r="AII14" s="44"/>
      <c r="AIJ14" s="44"/>
      <c r="AIK14" s="44"/>
      <c r="AIL14" s="44"/>
      <c r="AIM14" s="44"/>
      <c r="AIN14" s="44"/>
      <c r="AIO14" s="44"/>
      <c r="AIP14" s="44"/>
      <c r="AIQ14" s="44"/>
      <c r="AIR14" s="44"/>
      <c r="AIS14" s="44"/>
      <c r="AIT14" s="44"/>
      <c r="AIU14" s="44"/>
      <c r="AIV14" s="44"/>
      <c r="AIW14" s="44"/>
      <c r="AIX14" s="44"/>
      <c r="AIY14" s="44"/>
      <c r="AIZ14" s="44"/>
      <c r="AJA14" s="44"/>
      <c r="AJB14" s="44"/>
      <c r="AJC14" s="44"/>
      <c r="AJD14" s="44"/>
      <c r="AJE14" s="44"/>
      <c r="AJF14" s="44"/>
      <c r="AJG14" s="44"/>
      <c r="AJH14" s="44"/>
      <c r="AJI14" s="44"/>
      <c r="AJJ14" s="44"/>
      <c r="AJK14" s="44"/>
      <c r="AJL14" s="44"/>
      <c r="AJM14" s="44"/>
      <c r="AJN14" s="44"/>
      <c r="AJO14" s="44"/>
      <c r="AJP14" s="44"/>
      <c r="AJQ14" s="44"/>
      <c r="AJR14" s="44"/>
      <c r="AJS14" s="44"/>
      <c r="AJT14" s="44"/>
      <c r="AJU14" s="44"/>
      <c r="AJV14" s="44"/>
      <c r="AJW14" s="44"/>
      <c r="AJX14" s="44"/>
      <c r="AJY14" s="44"/>
      <c r="AJZ14" s="44"/>
      <c r="AKA14" s="44"/>
      <c r="AKB14" s="44"/>
      <c r="AKC14" s="44"/>
      <c r="AKD14" s="44"/>
      <c r="AKE14" s="44"/>
      <c r="AKF14" s="44"/>
      <c r="AKG14" s="44"/>
      <c r="AKH14" s="44"/>
      <c r="AKI14" s="44"/>
      <c r="AKJ14" s="44"/>
      <c r="AKK14" s="44"/>
      <c r="AKL14" s="44"/>
      <c r="AKM14" s="44"/>
      <c r="AKN14" s="44"/>
      <c r="AKO14" s="44"/>
      <c r="AKP14" s="44"/>
      <c r="AKQ14" s="44"/>
      <c r="AKR14" s="44"/>
      <c r="AKS14" s="44"/>
      <c r="AKT14" s="44"/>
      <c r="AKU14" s="44"/>
      <c r="AKV14" s="44"/>
      <c r="AKW14" s="44"/>
      <c r="AKX14" s="44"/>
      <c r="AKY14" s="44"/>
      <c r="AKZ14" s="44"/>
      <c r="ALA14" s="44"/>
      <c r="ALB14" s="44"/>
      <c r="ALC14" s="44"/>
      <c r="ALD14" s="44"/>
      <c r="ALE14" s="44"/>
      <c r="ALF14" s="44"/>
      <c r="ALG14" s="44"/>
      <c r="ALH14" s="44"/>
      <c r="ALI14" s="44"/>
      <c r="ALJ14" s="44"/>
      <c r="ALK14" s="44"/>
      <c r="ALL14" s="44"/>
      <c r="ALM14" s="44"/>
      <c r="ALN14" s="44"/>
      <c r="ALO14" s="44"/>
      <c r="ALP14" s="44"/>
      <c r="ALQ14" s="44"/>
      <c r="ALR14" s="44"/>
      <c r="ALS14" s="44"/>
      <c r="ALT14" s="44"/>
      <c r="ALU14" s="44"/>
      <c r="ALV14" s="44"/>
      <c r="ALW14" s="44"/>
      <c r="ALX14" s="44"/>
      <c r="ALY14" s="44"/>
      <c r="ALZ14" s="44"/>
      <c r="AMA14" s="44"/>
      <c r="AMB14" s="44"/>
      <c r="AMC14" s="44"/>
      <c r="AMD14" s="44"/>
      <c r="AME14" s="44"/>
      <c r="AMF14" s="44"/>
      <c r="AMG14" s="44"/>
      <c r="AMH14" s="44"/>
      <c r="AMI14" s="44"/>
      <c r="AMJ14" s="44"/>
      <c r="AMK14" s="44"/>
      <c r="AML14" s="44"/>
      <c r="AMM14" s="44"/>
      <c r="AMN14" s="44"/>
      <c r="AMO14" s="44"/>
      <c r="AMP14" s="44"/>
      <c r="AMQ14" s="44"/>
    </row>
    <row r="15" spans="1:1031" x14ac:dyDescent="0.2">
      <c r="A15" s="42" t="s">
        <v>318</v>
      </c>
      <c r="B15" s="42" t="s">
        <v>319</v>
      </c>
      <c r="C15" s="42" t="s">
        <v>276</v>
      </c>
      <c r="D15" s="42" t="s">
        <v>320</v>
      </c>
      <c r="G15" s="42">
        <v>24</v>
      </c>
      <c r="H15" s="42" t="s">
        <v>284</v>
      </c>
      <c r="K15" s="42" t="s">
        <v>285</v>
      </c>
      <c r="Q15" s="42" t="s">
        <v>323</v>
      </c>
      <c r="V15" s="43">
        <v>44607</v>
      </c>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c r="EJ15" s="44"/>
      <c r="EK15" s="44"/>
      <c r="EL15" s="44"/>
      <c r="EM15" s="44"/>
      <c r="EN15" s="44"/>
      <c r="EO15" s="44"/>
      <c r="EP15" s="44"/>
      <c r="EQ15" s="44"/>
      <c r="ER15" s="44"/>
      <c r="ES15" s="44"/>
      <c r="ET15" s="44"/>
      <c r="EU15" s="44"/>
      <c r="EV15" s="44"/>
      <c r="EW15" s="44"/>
      <c r="EX15" s="44"/>
      <c r="EY15" s="44"/>
      <c r="EZ15" s="44"/>
      <c r="FA15" s="44"/>
      <c r="FB15" s="44"/>
      <c r="FC15" s="44"/>
      <c r="FD15" s="44"/>
      <c r="FE15" s="44"/>
      <c r="FF15" s="44"/>
      <c r="FG15" s="44"/>
      <c r="FH15" s="44"/>
      <c r="FI15" s="44"/>
      <c r="FJ15" s="44"/>
      <c r="FK15" s="44"/>
      <c r="FL15" s="44"/>
      <c r="FM15" s="44"/>
      <c r="FN15" s="44"/>
      <c r="FO15" s="44"/>
      <c r="FP15" s="44"/>
      <c r="FQ15" s="44"/>
      <c r="FR15" s="44"/>
      <c r="FS15" s="44"/>
      <c r="FT15" s="44"/>
      <c r="FU15" s="44"/>
      <c r="FV15" s="44"/>
      <c r="FW15" s="44"/>
      <c r="FX15" s="44"/>
      <c r="FY15" s="44"/>
      <c r="FZ15" s="44"/>
      <c r="GA15" s="44"/>
      <c r="GB15" s="44"/>
      <c r="GC15" s="44"/>
      <c r="GD15" s="44"/>
      <c r="GE15" s="44"/>
      <c r="GF15" s="44"/>
      <c r="GG15" s="44"/>
      <c r="GH15" s="44"/>
      <c r="GI15" s="44"/>
      <c r="GJ15" s="44"/>
      <c r="GK15" s="44"/>
      <c r="GL15" s="44"/>
      <c r="GM15" s="44"/>
      <c r="GN15" s="44"/>
      <c r="GO15" s="44"/>
      <c r="GP15" s="44"/>
      <c r="GQ15" s="44"/>
      <c r="GR15" s="44"/>
      <c r="GS15" s="44"/>
      <c r="GT15" s="44"/>
      <c r="GU15" s="44"/>
      <c r="GV15" s="44"/>
      <c r="GW15" s="44"/>
      <c r="GX15" s="44"/>
      <c r="GY15" s="44"/>
      <c r="GZ15" s="44"/>
      <c r="HA15" s="44"/>
      <c r="HB15" s="44"/>
      <c r="HC15" s="44"/>
      <c r="HD15" s="44"/>
      <c r="HE15" s="44"/>
      <c r="HF15" s="44"/>
      <c r="HG15" s="44"/>
      <c r="HH15" s="44"/>
      <c r="HI15" s="44"/>
      <c r="HJ15" s="44"/>
      <c r="HK15" s="44"/>
      <c r="HL15" s="44"/>
      <c r="HM15" s="44"/>
      <c r="HN15" s="44"/>
      <c r="HO15" s="44"/>
      <c r="HP15" s="44"/>
      <c r="HQ15" s="44"/>
      <c r="HR15" s="44"/>
      <c r="HS15" s="44"/>
      <c r="HT15" s="44"/>
      <c r="HU15" s="44"/>
      <c r="HV15" s="44"/>
      <c r="HW15" s="44"/>
      <c r="HX15" s="44"/>
      <c r="HY15" s="44"/>
      <c r="HZ15" s="44"/>
      <c r="IA15" s="44"/>
      <c r="IB15" s="44"/>
      <c r="IC15" s="44"/>
      <c r="ID15" s="44"/>
      <c r="IE15" s="44"/>
      <c r="IF15" s="44"/>
      <c r="IG15" s="44"/>
      <c r="IH15" s="44"/>
      <c r="II15" s="44"/>
      <c r="IJ15" s="44"/>
      <c r="IK15" s="44"/>
      <c r="IL15" s="44"/>
      <c r="IM15" s="44"/>
      <c r="IN15" s="44"/>
      <c r="IO15" s="44"/>
      <c r="IP15" s="44"/>
      <c r="IQ15" s="44"/>
      <c r="IR15" s="44"/>
      <c r="IS15" s="44"/>
      <c r="IT15" s="44"/>
      <c r="IU15" s="44"/>
      <c r="IV15" s="44"/>
      <c r="IW15" s="44"/>
      <c r="IX15" s="44"/>
      <c r="IY15" s="44"/>
      <c r="IZ15" s="44"/>
      <c r="JA15" s="44"/>
      <c r="JB15" s="44"/>
      <c r="JC15" s="44"/>
      <c r="JD15" s="44"/>
      <c r="JE15" s="44"/>
      <c r="JF15" s="44"/>
      <c r="JG15" s="44"/>
      <c r="JH15" s="44"/>
      <c r="JI15" s="44"/>
      <c r="JJ15" s="44"/>
      <c r="JK15" s="44"/>
      <c r="JL15" s="44"/>
      <c r="JM15" s="44"/>
      <c r="JN15" s="44"/>
      <c r="JO15" s="44"/>
      <c r="JP15" s="44"/>
      <c r="JQ15" s="44"/>
      <c r="JR15" s="44"/>
      <c r="JS15" s="44"/>
      <c r="JT15" s="44"/>
      <c r="JU15" s="44"/>
      <c r="JV15" s="44"/>
      <c r="JW15" s="44"/>
      <c r="JX15" s="44"/>
      <c r="JY15" s="44"/>
      <c r="JZ15" s="44"/>
      <c r="KA15" s="44"/>
      <c r="KB15" s="44"/>
      <c r="KC15" s="44"/>
      <c r="KD15" s="44"/>
      <c r="KE15" s="44"/>
      <c r="KF15" s="44"/>
      <c r="KG15" s="44"/>
      <c r="KH15" s="44"/>
      <c r="KI15" s="44"/>
      <c r="KJ15" s="44"/>
      <c r="KK15" s="44"/>
      <c r="KL15" s="44"/>
      <c r="KM15" s="44"/>
      <c r="KN15" s="44"/>
      <c r="KO15" s="44"/>
      <c r="KP15" s="44"/>
      <c r="KQ15" s="44"/>
      <c r="KR15" s="44"/>
      <c r="KS15" s="44"/>
      <c r="KT15" s="44"/>
      <c r="KU15" s="44"/>
      <c r="KV15" s="44"/>
      <c r="KW15" s="44"/>
      <c r="KX15" s="44"/>
      <c r="KY15" s="44"/>
      <c r="KZ15" s="44"/>
      <c r="LA15" s="44"/>
      <c r="LB15" s="44"/>
      <c r="LC15" s="44"/>
      <c r="LD15" s="44"/>
      <c r="LE15" s="44"/>
      <c r="LF15" s="44"/>
      <c r="LG15" s="44"/>
      <c r="LH15" s="44"/>
      <c r="LI15" s="44"/>
      <c r="LJ15" s="44"/>
      <c r="LK15" s="44"/>
      <c r="LL15" s="44"/>
      <c r="LM15" s="44"/>
      <c r="LN15" s="44"/>
      <c r="LO15" s="44"/>
      <c r="LP15" s="44"/>
      <c r="LQ15" s="44"/>
      <c r="LR15" s="44"/>
      <c r="LS15" s="44"/>
      <c r="LT15" s="44"/>
      <c r="LU15" s="44"/>
      <c r="LV15" s="44"/>
      <c r="LW15" s="44"/>
      <c r="LX15" s="44"/>
      <c r="LY15" s="44"/>
      <c r="LZ15" s="44"/>
      <c r="MA15" s="44"/>
      <c r="MB15" s="44"/>
      <c r="MC15" s="44"/>
      <c r="MD15" s="44"/>
      <c r="ME15" s="44"/>
      <c r="MF15" s="44"/>
      <c r="MG15" s="44"/>
      <c r="MH15" s="44"/>
      <c r="MI15" s="44"/>
      <c r="MJ15" s="44"/>
      <c r="MK15" s="44"/>
      <c r="ML15" s="44"/>
      <c r="MM15" s="44"/>
      <c r="MN15" s="44"/>
      <c r="MO15" s="44"/>
      <c r="MP15" s="44"/>
      <c r="MQ15" s="44"/>
      <c r="MR15" s="44"/>
      <c r="MS15" s="44"/>
      <c r="MT15" s="44"/>
      <c r="MU15" s="44"/>
      <c r="MV15" s="44"/>
      <c r="MW15" s="44"/>
      <c r="MX15" s="44"/>
      <c r="MY15" s="44"/>
      <c r="MZ15" s="44"/>
      <c r="NA15" s="44"/>
      <c r="NB15" s="44"/>
      <c r="NC15" s="44"/>
      <c r="ND15" s="44"/>
      <c r="NE15" s="44"/>
      <c r="NF15" s="44"/>
      <c r="NG15" s="44"/>
      <c r="NH15" s="44"/>
      <c r="NI15" s="44"/>
      <c r="NJ15" s="44"/>
      <c r="NK15" s="44"/>
      <c r="NL15" s="44"/>
      <c r="NM15" s="44"/>
      <c r="NN15" s="44"/>
      <c r="NO15" s="44"/>
      <c r="NP15" s="44"/>
      <c r="NQ15" s="44"/>
      <c r="NR15" s="44"/>
      <c r="NS15" s="44"/>
      <c r="NT15" s="44"/>
      <c r="NU15" s="44"/>
      <c r="NV15" s="44"/>
      <c r="NW15" s="44"/>
      <c r="NX15" s="44"/>
      <c r="NY15" s="44"/>
      <c r="NZ15" s="44"/>
      <c r="OA15" s="44"/>
      <c r="OB15" s="44"/>
      <c r="OC15" s="44"/>
      <c r="OD15" s="44"/>
      <c r="OE15" s="44"/>
      <c r="OF15" s="44"/>
      <c r="OG15" s="44"/>
      <c r="OH15" s="44"/>
      <c r="OI15" s="44"/>
      <c r="OJ15" s="44"/>
      <c r="OK15" s="44"/>
      <c r="OL15" s="44"/>
      <c r="OM15" s="44"/>
      <c r="ON15" s="44"/>
      <c r="OO15" s="44"/>
      <c r="OP15" s="44"/>
      <c r="OQ15" s="44"/>
      <c r="OR15" s="44"/>
      <c r="OS15" s="44"/>
      <c r="OT15" s="44"/>
      <c r="OU15" s="44"/>
      <c r="OV15" s="44"/>
      <c r="OW15" s="44"/>
      <c r="OX15" s="44"/>
      <c r="OY15" s="44"/>
      <c r="OZ15" s="44"/>
      <c r="PA15" s="44"/>
      <c r="PB15" s="44"/>
      <c r="PC15" s="44"/>
      <c r="PD15" s="44"/>
      <c r="PE15" s="44"/>
      <c r="PF15" s="44"/>
      <c r="PG15" s="44"/>
      <c r="PH15" s="44"/>
      <c r="PI15" s="44"/>
      <c r="PJ15" s="44"/>
      <c r="PK15" s="44"/>
      <c r="PL15" s="44"/>
      <c r="PM15" s="44"/>
      <c r="PN15" s="44"/>
      <c r="PO15" s="44"/>
      <c r="PP15" s="44"/>
      <c r="PQ15" s="44"/>
      <c r="PR15" s="44"/>
      <c r="PS15" s="44"/>
      <c r="PT15" s="44"/>
      <c r="PU15" s="44"/>
      <c r="PV15" s="44"/>
      <c r="PW15" s="44"/>
      <c r="PX15" s="44"/>
      <c r="PY15" s="44"/>
      <c r="PZ15" s="44"/>
      <c r="QA15" s="44"/>
      <c r="QB15" s="44"/>
      <c r="QC15" s="44"/>
      <c r="QD15" s="44"/>
      <c r="QE15" s="44"/>
      <c r="QF15" s="44"/>
      <c r="QG15" s="44"/>
      <c r="QH15" s="44"/>
      <c r="QI15" s="44"/>
      <c r="QJ15" s="44"/>
      <c r="QK15" s="44"/>
      <c r="QL15" s="44"/>
      <c r="QM15" s="44"/>
      <c r="QN15" s="44"/>
      <c r="QO15" s="44"/>
      <c r="QP15" s="44"/>
      <c r="QQ15" s="44"/>
      <c r="QR15" s="44"/>
      <c r="QS15" s="44"/>
      <c r="QT15" s="44"/>
      <c r="QU15" s="44"/>
      <c r="QV15" s="44"/>
      <c r="QW15" s="44"/>
      <c r="QX15" s="44"/>
      <c r="QY15" s="44"/>
      <c r="QZ15" s="44"/>
      <c r="RA15" s="44"/>
      <c r="RB15" s="44"/>
      <c r="RC15" s="44"/>
      <c r="RD15" s="44"/>
      <c r="RE15" s="44"/>
      <c r="RF15" s="44"/>
      <c r="RG15" s="44"/>
      <c r="RH15" s="44"/>
      <c r="RI15" s="44"/>
      <c r="RJ15" s="44"/>
      <c r="RK15" s="44"/>
      <c r="RL15" s="44"/>
      <c r="RM15" s="44"/>
      <c r="RN15" s="44"/>
      <c r="RO15" s="44"/>
      <c r="RP15" s="44"/>
      <c r="RQ15" s="44"/>
      <c r="RR15" s="44"/>
      <c r="RS15" s="44"/>
      <c r="RT15" s="44"/>
      <c r="RU15" s="44"/>
      <c r="RV15" s="44"/>
      <c r="RW15" s="44"/>
      <c r="RX15" s="44"/>
      <c r="RY15" s="44"/>
      <c r="RZ15" s="44"/>
      <c r="SA15" s="44"/>
      <c r="SB15" s="44"/>
      <c r="SC15" s="44"/>
      <c r="SD15" s="44"/>
      <c r="SE15" s="44"/>
      <c r="SF15" s="44"/>
      <c r="SG15" s="44"/>
      <c r="SH15" s="44"/>
      <c r="SI15" s="44"/>
      <c r="SJ15" s="44"/>
      <c r="SK15" s="44"/>
      <c r="SL15" s="44"/>
      <c r="SM15" s="44"/>
      <c r="SN15" s="44"/>
      <c r="SO15" s="44"/>
      <c r="SP15" s="44"/>
      <c r="SQ15" s="44"/>
      <c r="SR15" s="44"/>
      <c r="SS15" s="44"/>
      <c r="ST15" s="44"/>
      <c r="SU15" s="44"/>
      <c r="SV15" s="44"/>
      <c r="SW15" s="44"/>
      <c r="SX15" s="44"/>
      <c r="SY15" s="44"/>
      <c r="SZ15" s="44"/>
      <c r="TA15" s="44"/>
      <c r="TB15" s="44"/>
      <c r="TC15" s="44"/>
      <c r="TD15" s="44"/>
      <c r="TE15" s="44"/>
      <c r="TF15" s="44"/>
      <c r="TG15" s="44"/>
      <c r="TH15" s="44"/>
      <c r="TI15" s="44"/>
      <c r="TJ15" s="44"/>
      <c r="TK15" s="44"/>
      <c r="TL15" s="44"/>
      <c r="TM15" s="44"/>
      <c r="TN15" s="44"/>
      <c r="TO15" s="44"/>
      <c r="TP15" s="44"/>
      <c r="TQ15" s="44"/>
      <c r="TR15" s="44"/>
      <c r="TS15" s="44"/>
      <c r="TT15" s="44"/>
      <c r="TU15" s="44"/>
      <c r="TV15" s="44"/>
      <c r="TW15" s="44"/>
      <c r="TX15" s="44"/>
      <c r="TY15" s="44"/>
      <c r="TZ15" s="44"/>
      <c r="UA15" s="44"/>
      <c r="UB15" s="44"/>
      <c r="UC15" s="44"/>
      <c r="UD15" s="44"/>
      <c r="UE15" s="44"/>
      <c r="UF15" s="44"/>
      <c r="UG15" s="44"/>
      <c r="UH15" s="44"/>
      <c r="UI15" s="44"/>
      <c r="UJ15" s="44"/>
      <c r="UK15" s="44"/>
      <c r="UL15" s="44"/>
      <c r="UM15" s="44"/>
      <c r="UN15" s="44"/>
      <c r="UO15" s="44"/>
      <c r="UP15" s="44"/>
      <c r="UQ15" s="44"/>
      <c r="UR15" s="44"/>
      <c r="US15" s="44"/>
      <c r="UT15" s="44"/>
      <c r="UU15" s="44"/>
      <c r="UV15" s="44"/>
      <c r="UW15" s="44"/>
      <c r="UX15" s="44"/>
      <c r="UY15" s="44"/>
      <c r="UZ15" s="44"/>
      <c r="VA15" s="44"/>
      <c r="VB15" s="44"/>
      <c r="VC15" s="44"/>
      <c r="VD15" s="44"/>
      <c r="VE15" s="44"/>
      <c r="VF15" s="44"/>
      <c r="VG15" s="44"/>
      <c r="VH15" s="44"/>
      <c r="VI15" s="44"/>
      <c r="VJ15" s="44"/>
      <c r="VK15" s="44"/>
      <c r="VL15" s="44"/>
      <c r="VM15" s="44"/>
      <c r="VN15" s="44"/>
      <c r="VO15" s="44"/>
      <c r="VP15" s="44"/>
      <c r="VQ15" s="44"/>
      <c r="VR15" s="44"/>
      <c r="VS15" s="44"/>
      <c r="VT15" s="44"/>
      <c r="VU15" s="44"/>
      <c r="VV15" s="44"/>
      <c r="VW15" s="44"/>
      <c r="VX15" s="44"/>
      <c r="VY15" s="44"/>
      <c r="VZ15" s="44"/>
      <c r="WA15" s="44"/>
      <c r="WB15" s="44"/>
      <c r="WC15" s="44"/>
      <c r="WD15" s="44"/>
      <c r="WE15" s="44"/>
      <c r="WF15" s="44"/>
      <c r="WG15" s="44"/>
      <c r="WH15" s="44"/>
      <c r="WI15" s="44"/>
      <c r="WJ15" s="44"/>
      <c r="WK15" s="44"/>
      <c r="WL15" s="44"/>
      <c r="WM15" s="44"/>
      <c r="WN15" s="44"/>
      <c r="WO15" s="44"/>
      <c r="WP15" s="44"/>
      <c r="WQ15" s="44"/>
      <c r="WR15" s="44"/>
      <c r="WS15" s="44"/>
      <c r="WT15" s="44"/>
      <c r="WU15" s="44"/>
      <c r="WV15" s="44"/>
      <c r="WW15" s="44"/>
      <c r="WX15" s="44"/>
      <c r="WY15" s="44"/>
      <c r="WZ15" s="44"/>
      <c r="XA15" s="44"/>
      <c r="XB15" s="44"/>
      <c r="XC15" s="44"/>
      <c r="XD15" s="44"/>
      <c r="XE15" s="44"/>
      <c r="XF15" s="44"/>
      <c r="XG15" s="44"/>
      <c r="XH15" s="44"/>
      <c r="XI15" s="44"/>
      <c r="XJ15" s="44"/>
      <c r="XK15" s="44"/>
      <c r="XL15" s="44"/>
      <c r="XM15" s="44"/>
      <c r="XN15" s="44"/>
      <c r="XO15" s="44"/>
      <c r="XP15" s="44"/>
      <c r="XQ15" s="44"/>
      <c r="XR15" s="44"/>
      <c r="XS15" s="44"/>
      <c r="XT15" s="44"/>
      <c r="XU15" s="44"/>
      <c r="XV15" s="44"/>
      <c r="XW15" s="44"/>
      <c r="XX15" s="44"/>
      <c r="XY15" s="44"/>
      <c r="XZ15" s="44"/>
      <c r="YA15" s="44"/>
      <c r="YB15" s="44"/>
      <c r="YC15" s="44"/>
      <c r="YD15" s="44"/>
      <c r="YE15" s="44"/>
      <c r="YF15" s="44"/>
      <c r="YG15" s="44"/>
      <c r="YH15" s="44"/>
      <c r="YI15" s="44"/>
      <c r="YJ15" s="44"/>
      <c r="YK15" s="44"/>
      <c r="YL15" s="44"/>
      <c r="YM15" s="44"/>
      <c r="YN15" s="44"/>
      <c r="YO15" s="44"/>
      <c r="YP15" s="44"/>
      <c r="YQ15" s="44"/>
      <c r="YR15" s="44"/>
      <c r="YS15" s="44"/>
      <c r="YT15" s="44"/>
      <c r="YU15" s="44"/>
      <c r="YV15" s="44"/>
      <c r="YW15" s="44"/>
      <c r="YX15" s="44"/>
      <c r="YY15" s="44"/>
      <c r="YZ15" s="44"/>
      <c r="ZA15" s="44"/>
      <c r="ZB15" s="44"/>
      <c r="ZC15" s="44"/>
      <c r="ZD15" s="44"/>
      <c r="ZE15" s="44"/>
      <c r="ZF15" s="44"/>
      <c r="ZG15" s="44"/>
      <c r="ZH15" s="44"/>
      <c r="ZI15" s="44"/>
      <c r="ZJ15" s="44"/>
      <c r="ZK15" s="44"/>
      <c r="ZL15" s="44"/>
      <c r="ZM15" s="44"/>
      <c r="ZN15" s="44"/>
      <c r="ZO15" s="44"/>
      <c r="ZP15" s="44"/>
      <c r="ZQ15" s="44"/>
      <c r="ZR15" s="44"/>
      <c r="ZS15" s="44"/>
      <c r="ZT15" s="44"/>
      <c r="ZU15" s="44"/>
      <c r="ZV15" s="44"/>
      <c r="ZW15" s="44"/>
      <c r="ZX15" s="44"/>
      <c r="ZY15" s="44"/>
      <c r="ZZ15" s="44"/>
      <c r="AAA15" s="44"/>
      <c r="AAB15" s="44"/>
      <c r="AAC15" s="44"/>
      <c r="AAD15" s="44"/>
      <c r="AAE15" s="44"/>
      <c r="AAF15" s="44"/>
      <c r="AAG15" s="44"/>
      <c r="AAH15" s="44"/>
      <c r="AAI15" s="44"/>
      <c r="AAJ15" s="44"/>
      <c r="AAK15" s="44"/>
      <c r="AAL15" s="44"/>
      <c r="AAM15" s="44"/>
      <c r="AAN15" s="44"/>
      <c r="AAO15" s="44"/>
      <c r="AAP15" s="44"/>
      <c r="AAQ15" s="44"/>
      <c r="AAR15" s="44"/>
      <c r="AAS15" s="44"/>
      <c r="AAT15" s="44"/>
      <c r="AAU15" s="44"/>
      <c r="AAV15" s="44"/>
      <c r="AAW15" s="44"/>
      <c r="AAX15" s="44"/>
      <c r="AAY15" s="44"/>
      <c r="AAZ15" s="44"/>
      <c r="ABA15" s="44"/>
      <c r="ABB15" s="44"/>
      <c r="ABC15" s="44"/>
      <c r="ABD15" s="44"/>
      <c r="ABE15" s="44"/>
      <c r="ABF15" s="44"/>
      <c r="ABG15" s="44"/>
      <c r="ABH15" s="44"/>
      <c r="ABI15" s="44"/>
      <c r="ABJ15" s="44"/>
      <c r="ABK15" s="44"/>
      <c r="ABL15" s="44"/>
      <c r="ABM15" s="44"/>
      <c r="ABN15" s="44"/>
      <c r="ABO15" s="44"/>
      <c r="ABP15" s="44"/>
      <c r="ABQ15" s="44"/>
      <c r="ABR15" s="44"/>
      <c r="ABS15" s="44"/>
      <c r="ABT15" s="44"/>
      <c r="ABU15" s="44"/>
      <c r="ABV15" s="44"/>
      <c r="ABW15" s="44"/>
      <c r="ABX15" s="44"/>
      <c r="ABY15" s="44"/>
      <c r="ABZ15" s="44"/>
      <c r="ACA15" s="44"/>
      <c r="ACB15" s="44"/>
      <c r="ACC15" s="44"/>
      <c r="ACD15" s="44"/>
      <c r="ACE15" s="44"/>
      <c r="ACF15" s="44"/>
      <c r="ACG15" s="44"/>
      <c r="ACH15" s="44"/>
      <c r="ACI15" s="44"/>
      <c r="ACJ15" s="44"/>
      <c r="ACK15" s="44"/>
      <c r="ACL15" s="44"/>
      <c r="ACM15" s="44"/>
      <c r="ACN15" s="44"/>
      <c r="ACO15" s="44"/>
      <c r="ACP15" s="44"/>
      <c r="ACQ15" s="44"/>
      <c r="ACR15" s="44"/>
      <c r="ACS15" s="44"/>
      <c r="ACT15" s="44"/>
      <c r="ACU15" s="44"/>
      <c r="ACV15" s="44"/>
      <c r="ACW15" s="44"/>
      <c r="ACX15" s="44"/>
      <c r="ACY15" s="44"/>
      <c r="ACZ15" s="44"/>
      <c r="ADA15" s="44"/>
      <c r="ADB15" s="44"/>
      <c r="ADC15" s="44"/>
      <c r="ADD15" s="44"/>
      <c r="ADE15" s="44"/>
      <c r="ADF15" s="44"/>
      <c r="ADG15" s="44"/>
      <c r="ADH15" s="44"/>
      <c r="ADI15" s="44"/>
      <c r="ADJ15" s="44"/>
      <c r="ADK15" s="44"/>
      <c r="ADL15" s="44"/>
      <c r="ADM15" s="44"/>
      <c r="ADN15" s="44"/>
      <c r="ADO15" s="44"/>
      <c r="ADP15" s="44"/>
      <c r="ADQ15" s="44"/>
      <c r="ADR15" s="44"/>
      <c r="ADS15" s="44"/>
      <c r="ADT15" s="44"/>
      <c r="ADU15" s="44"/>
      <c r="ADV15" s="44"/>
      <c r="ADW15" s="44"/>
      <c r="ADX15" s="44"/>
      <c r="ADY15" s="44"/>
      <c r="ADZ15" s="44"/>
      <c r="AEA15" s="44"/>
      <c r="AEB15" s="44"/>
      <c r="AEC15" s="44"/>
      <c r="AED15" s="44"/>
      <c r="AEE15" s="44"/>
      <c r="AEF15" s="44"/>
      <c r="AEG15" s="44"/>
      <c r="AEH15" s="44"/>
      <c r="AEI15" s="44"/>
      <c r="AEJ15" s="44"/>
      <c r="AEK15" s="44"/>
      <c r="AEL15" s="44"/>
      <c r="AEM15" s="44"/>
      <c r="AEN15" s="44"/>
      <c r="AEO15" s="44"/>
      <c r="AEP15" s="44"/>
      <c r="AEQ15" s="44"/>
      <c r="AER15" s="44"/>
      <c r="AES15" s="44"/>
      <c r="AET15" s="44"/>
      <c r="AEU15" s="44"/>
      <c r="AEV15" s="44"/>
      <c r="AEW15" s="44"/>
      <c r="AEX15" s="44"/>
      <c r="AEY15" s="44"/>
      <c r="AEZ15" s="44"/>
      <c r="AFA15" s="44"/>
      <c r="AFB15" s="44"/>
      <c r="AFC15" s="44"/>
      <c r="AFD15" s="44"/>
      <c r="AFE15" s="44"/>
      <c r="AFF15" s="44"/>
      <c r="AFG15" s="44"/>
      <c r="AFH15" s="44"/>
      <c r="AFI15" s="44"/>
      <c r="AFJ15" s="44"/>
      <c r="AFK15" s="44"/>
      <c r="AFL15" s="44"/>
      <c r="AFM15" s="44"/>
      <c r="AFN15" s="44"/>
      <c r="AFO15" s="44"/>
      <c r="AFP15" s="44"/>
      <c r="AFQ15" s="44"/>
      <c r="AFR15" s="44"/>
      <c r="AFS15" s="44"/>
      <c r="AFT15" s="44"/>
      <c r="AFU15" s="44"/>
      <c r="AFV15" s="44"/>
      <c r="AFW15" s="44"/>
      <c r="AFX15" s="44"/>
      <c r="AFY15" s="44"/>
      <c r="AFZ15" s="44"/>
      <c r="AGA15" s="44"/>
      <c r="AGB15" s="44"/>
      <c r="AGC15" s="44"/>
      <c r="AGD15" s="44"/>
      <c r="AGE15" s="44"/>
      <c r="AGF15" s="44"/>
      <c r="AGG15" s="44"/>
      <c r="AGH15" s="44"/>
      <c r="AGI15" s="44"/>
      <c r="AGJ15" s="44"/>
      <c r="AGK15" s="44"/>
      <c r="AGL15" s="44"/>
      <c r="AGM15" s="44"/>
      <c r="AGN15" s="44"/>
      <c r="AGO15" s="44"/>
      <c r="AGP15" s="44"/>
      <c r="AGQ15" s="44"/>
      <c r="AGR15" s="44"/>
      <c r="AGS15" s="44"/>
      <c r="AGT15" s="44"/>
      <c r="AGU15" s="44"/>
      <c r="AGV15" s="44"/>
      <c r="AGW15" s="44"/>
      <c r="AGX15" s="44"/>
      <c r="AGY15" s="44"/>
      <c r="AGZ15" s="44"/>
      <c r="AHA15" s="44"/>
      <c r="AHB15" s="44"/>
      <c r="AHC15" s="44"/>
      <c r="AHD15" s="44"/>
      <c r="AHE15" s="44"/>
      <c r="AHF15" s="44"/>
      <c r="AHG15" s="44"/>
      <c r="AHH15" s="44"/>
      <c r="AHI15" s="44"/>
      <c r="AHJ15" s="44"/>
      <c r="AHK15" s="44"/>
      <c r="AHL15" s="44"/>
      <c r="AHM15" s="44"/>
      <c r="AHN15" s="44"/>
      <c r="AHO15" s="44"/>
      <c r="AHP15" s="44"/>
      <c r="AHQ15" s="44"/>
      <c r="AHR15" s="44"/>
      <c r="AHS15" s="44"/>
      <c r="AHT15" s="44"/>
      <c r="AHU15" s="44"/>
      <c r="AHV15" s="44"/>
      <c r="AHW15" s="44"/>
      <c r="AHX15" s="44"/>
      <c r="AHY15" s="44"/>
      <c r="AHZ15" s="44"/>
      <c r="AIA15" s="44"/>
      <c r="AIB15" s="44"/>
      <c r="AIC15" s="44"/>
      <c r="AID15" s="44"/>
      <c r="AIE15" s="44"/>
      <c r="AIF15" s="44"/>
      <c r="AIG15" s="44"/>
      <c r="AIH15" s="44"/>
      <c r="AII15" s="44"/>
      <c r="AIJ15" s="44"/>
      <c r="AIK15" s="44"/>
      <c r="AIL15" s="44"/>
      <c r="AIM15" s="44"/>
      <c r="AIN15" s="44"/>
      <c r="AIO15" s="44"/>
      <c r="AIP15" s="44"/>
      <c r="AIQ15" s="44"/>
      <c r="AIR15" s="44"/>
      <c r="AIS15" s="44"/>
      <c r="AIT15" s="44"/>
      <c r="AIU15" s="44"/>
      <c r="AIV15" s="44"/>
      <c r="AIW15" s="44"/>
      <c r="AIX15" s="44"/>
      <c r="AIY15" s="44"/>
      <c r="AIZ15" s="44"/>
      <c r="AJA15" s="44"/>
      <c r="AJB15" s="44"/>
      <c r="AJC15" s="44"/>
      <c r="AJD15" s="44"/>
      <c r="AJE15" s="44"/>
      <c r="AJF15" s="44"/>
      <c r="AJG15" s="44"/>
      <c r="AJH15" s="44"/>
      <c r="AJI15" s="44"/>
      <c r="AJJ15" s="44"/>
      <c r="AJK15" s="44"/>
      <c r="AJL15" s="44"/>
      <c r="AJM15" s="44"/>
      <c r="AJN15" s="44"/>
      <c r="AJO15" s="44"/>
      <c r="AJP15" s="44"/>
      <c r="AJQ15" s="44"/>
      <c r="AJR15" s="44"/>
      <c r="AJS15" s="44"/>
      <c r="AJT15" s="44"/>
      <c r="AJU15" s="44"/>
      <c r="AJV15" s="44"/>
      <c r="AJW15" s="44"/>
      <c r="AJX15" s="44"/>
      <c r="AJY15" s="44"/>
      <c r="AJZ15" s="44"/>
      <c r="AKA15" s="44"/>
      <c r="AKB15" s="44"/>
      <c r="AKC15" s="44"/>
      <c r="AKD15" s="44"/>
      <c r="AKE15" s="44"/>
      <c r="AKF15" s="44"/>
      <c r="AKG15" s="44"/>
      <c r="AKH15" s="44"/>
      <c r="AKI15" s="44"/>
      <c r="AKJ15" s="44"/>
      <c r="AKK15" s="44"/>
      <c r="AKL15" s="44"/>
      <c r="AKM15" s="44"/>
      <c r="AKN15" s="44"/>
      <c r="AKO15" s="44"/>
      <c r="AKP15" s="44"/>
      <c r="AKQ15" s="44"/>
      <c r="AKR15" s="44"/>
      <c r="AKS15" s="44"/>
      <c r="AKT15" s="44"/>
      <c r="AKU15" s="44"/>
      <c r="AKV15" s="44"/>
      <c r="AKW15" s="44"/>
      <c r="AKX15" s="44"/>
      <c r="AKY15" s="44"/>
      <c r="AKZ15" s="44"/>
      <c r="ALA15" s="44"/>
      <c r="ALB15" s="44"/>
      <c r="ALC15" s="44"/>
      <c r="ALD15" s="44"/>
      <c r="ALE15" s="44"/>
      <c r="ALF15" s="44"/>
      <c r="ALG15" s="44"/>
      <c r="ALH15" s="44"/>
      <c r="ALI15" s="44"/>
      <c r="ALJ15" s="44"/>
      <c r="ALK15" s="44"/>
      <c r="ALL15" s="44"/>
      <c r="ALM15" s="44"/>
      <c r="ALN15" s="44"/>
      <c r="ALO15" s="44"/>
      <c r="ALP15" s="44"/>
      <c r="ALQ15" s="44"/>
      <c r="ALR15" s="44"/>
      <c r="ALS15" s="44"/>
      <c r="ALT15" s="44"/>
      <c r="ALU15" s="44"/>
      <c r="ALV15" s="44"/>
      <c r="ALW15" s="44"/>
      <c r="ALX15" s="44"/>
      <c r="ALY15" s="44"/>
      <c r="ALZ15" s="44"/>
      <c r="AMA15" s="44"/>
      <c r="AMB15" s="44"/>
      <c r="AMC15" s="44"/>
      <c r="AMD15" s="44"/>
      <c r="AME15" s="44"/>
      <c r="AMF15" s="44"/>
      <c r="AMG15" s="44"/>
      <c r="AMH15" s="44"/>
      <c r="AMI15" s="44"/>
      <c r="AMJ15" s="44"/>
      <c r="AMK15" s="44"/>
      <c r="AML15" s="44"/>
      <c r="AMM15" s="44"/>
      <c r="AMN15" s="44"/>
      <c r="AMO15" s="44"/>
      <c r="AMP15" s="44"/>
      <c r="AMQ15" s="44"/>
    </row>
    <row r="16" spans="1:1031" ht="38.25" x14ac:dyDescent="0.2">
      <c r="A16" s="42" t="s">
        <v>318</v>
      </c>
      <c r="B16" s="42" t="s">
        <v>319</v>
      </c>
      <c r="C16" s="42" t="s">
        <v>276</v>
      </c>
      <c r="D16" s="42" t="s">
        <v>320</v>
      </c>
      <c r="G16" s="42">
        <v>24</v>
      </c>
      <c r="H16" s="42" t="s">
        <v>284</v>
      </c>
      <c r="K16" s="42" t="s">
        <v>285</v>
      </c>
      <c r="Q16" s="42" t="s">
        <v>324</v>
      </c>
      <c r="V16" s="43">
        <v>44607</v>
      </c>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c r="EM16" s="44"/>
      <c r="EN16" s="44"/>
      <c r="EO16" s="44"/>
      <c r="EP16" s="44"/>
      <c r="EQ16" s="44"/>
      <c r="ER16" s="44"/>
      <c r="ES16" s="44"/>
      <c r="ET16" s="44"/>
      <c r="EU16" s="44"/>
      <c r="EV16" s="44"/>
      <c r="EW16" s="44"/>
      <c r="EX16" s="44"/>
      <c r="EY16" s="44"/>
      <c r="EZ16" s="44"/>
      <c r="FA16" s="44"/>
      <c r="FB16" s="44"/>
      <c r="FC16" s="44"/>
      <c r="FD16" s="44"/>
      <c r="FE16" s="44"/>
      <c r="FF16" s="44"/>
      <c r="FG16" s="44"/>
      <c r="FH16" s="44"/>
      <c r="FI16" s="44"/>
      <c r="FJ16" s="44"/>
      <c r="FK16" s="44"/>
      <c r="FL16" s="44"/>
      <c r="FM16" s="44"/>
      <c r="FN16" s="44"/>
      <c r="FO16" s="44"/>
      <c r="FP16" s="44"/>
      <c r="FQ16" s="44"/>
      <c r="FR16" s="44"/>
      <c r="FS16" s="44"/>
      <c r="FT16" s="44"/>
      <c r="FU16" s="44"/>
      <c r="FV16" s="44"/>
      <c r="FW16" s="44"/>
      <c r="FX16" s="44"/>
      <c r="FY16" s="44"/>
      <c r="FZ16" s="44"/>
      <c r="GA16" s="44"/>
      <c r="GB16" s="44"/>
      <c r="GC16" s="44"/>
      <c r="GD16" s="44"/>
      <c r="GE16" s="44"/>
      <c r="GF16" s="44"/>
      <c r="GG16" s="44"/>
      <c r="GH16" s="44"/>
      <c r="GI16" s="44"/>
      <c r="GJ16" s="44"/>
      <c r="GK16" s="44"/>
      <c r="GL16" s="44"/>
      <c r="GM16" s="44"/>
      <c r="GN16" s="44"/>
      <c r="GO16" s="44"/>
      <c r="GP16" s="44"/>
      <c r="GQ16" s="44"/>
      <c r="GR16" s="44"/>
      <c r="GS16" s="44"/>
      <c r="GT16" s="44"/>
      <c r="GU16" s="44"/>
      <c r="GV16" s="44"/>
      <c r="GW16" s="44"/>
      <c r="GX16" s="44"/>
      <c r="GY16" s="44"/>
      <c r="GZ16" s="44"/>
      <c r="HA16" s="44"/>
      <c r="HB16" s="44"/>
      <c r="HC16" s="44"/>
      <c r="HD16" s="44"/>
      <c r="HE16" s="44"/>
      <c r="HF16" s="44"/>
      <c r="HG16" s="44"/>
      <c r="HH16" s="44"/>
      <c r="HI16" s="44"/>
      <c r="HJ16" s="44"/>
      <c r="HK16" s="44"/>
      <c r="HL16" s="44"/>
      <c r="HM16" s="44"/>
      <c r="HN16" s="44"/>
      <c r="HO16" s="44"/>
      <c r="HP16" s="44"/>
      <c r="HQ16" s="44"/>
      <c r="HR16" s="44"/>
      <c r="HS16" s="44"/>
      <c r="HT16" s="44"/>
      <c r="HU16" s="44"/>
      <c r="HV16" s="44"/>
      <c r="HW16" s="44"/>
      <c r="HX16" s="44"/>
      <c r="HY16" s="44"/>
      <c r="HZ16" s="44"/>
      <c r="IA16" s="44"/>
      <c r="IB16" s="44"/>
      <c r="IC16" s="44"/>
      <c r="ID16" s="44"/>
      <c r="IE16" s="44"/>
      <c r="IF16" s="44"/>
      <c r="IG16" s="44"/>
      <c r="IH16" s="44"/>
      <c r="II16" s="44"/>
      <c r="IJ16" s="44"/>
      <c r="IK16" s="44"/>
      <c r="IL16" s="44"/>
      <c r="IM16" s="44"/>
      <c r="IN16" s="44"/>
      <c r="IO16" s="44"/>
      <c r="IP16" s="44"/>
      <c r="IQ16" s="44"/>
      <c r="IR16" s="44"/>
      <c r="IS16" s="44"/>
      <c r="IT16" s="44"/>
      <c r="IU16" s="44"/>
      <c r="IV16" s="44"/>
      <c r="IW16" s="44"/>
      <c r="IX16" s="44"/>
      <c r="IY16" s="44"/>
      <c r="IZ16" s="44"/>
      <c r="JA16" s="44"/>
      <c r="JB16" s="44"/>
      <c r="JC16" s="44"/>
      <c r="JD16" s="44"/>
      <c r="JE16" s="44"/>
      <c r="JF16" s="44"/>
      <c r="JG16" s="44"/>
      <c r="JH16" s="44"/>
      <c r="JI16" s="44"/>
      <c r="JJ16" s="44"/>
      <c r="JK16" s="44"/>
      <c r="JL16" s="44"/>
      <c r="JM16" s="44"/>
      <c r="JN16" s="44"/>
      <c r="JO16" s="44"/>
      <c r="JP16" s="44"/>
      <c r="JQ16" s="44"/>
      <c r="JR16" s="44"/>
      <c r="JS16" s="44"/>
      <c r="JT16" s="44"/>
      <c r="JU16" s="44"/>
      <c r="JV16" s="44"/>
      <c r="JW16" s="44"/>
      <c r="JX16" s="44"/>
      <c r="JY16" s="44"/>
      <c r="JZ16" s="44"/>
      <c r="KA16" s="44"/>
      <c r="KB16" s="44"/>
      <c r="KC16" s="44"/>
      <c r="KD16" s="44"/>
      <c r="KE16" s="44"/>
      <c r="KF16" s="44"/>
      <c r="KG16" s="44"/>
      <c r="KH16" s="44"/>
      <c r="KI16" s="44"/>
      <c r="KJ16" s="44"/>
      <c r="KK16" s="44"/>
      <c r="KL16" s="44"/>
      <c r="KM16" s="44"/>
      <c r="KN16" s="44"/>
      <c r="KO16" s="44"/>
      <c r="KP16" s="44"/>
      <c r="KQ16" s="44"/>
      <c r="KR16" s="44"/>
      <c r="KS16" s="44"/>
      <c r="KT16" s="44"/>
      <c r="KU16" s="44"/>
      <c r="KV16" s="44"/>
      <c r="KW16" s="44"/>
      <c r="KX16" s="44"/>
      <c r="KY16" s="44"/>
      <c r="KZ16" s="44"/>
      <c r="LA16" s="44"/>
      <c r="LB16" s="44"/>
      <c r="LC16" s="44"/>
      <c r="LD16" s="44"/>
      <c r="LE16" s="44"/>
      <c r="LF16" s="44"/>
      <c r="LG16" s="44"/>
      <c r="LH16" s="44"/>
      <c r="LI16" s="44"/>
      <c r="LJ16" s="44"/>
      <c r="LK16" s="44"/>
      <c r="LL16" s="44"/>
      <c r="LM16" s="44"/>
      <c r="LN16" s="44"/>
      <c r="LO16" s="44"/>
      <c r="LP16" s="44"/>
      <c r="LQ16" s="44"/>
      <c r="LR16" s="44"/>
      <c r="LS16" s="44"/>
      <c r="LT16" s="44"/>
      <c r="LU16" s="44"/>
      <c r="LV16" s="44"/>
      <c r="LW16" s="44"/>
      <c r="LX16" s="44"/>
      <c r="LY16" s="44"/>
      <c r="LZ16" s="44"/>
      <c r="MA16" s="44"/>
      <c r="MB16" s="44"/>
      <c r="MC16" s="44"/>
      <c r="MD16" s="44"/>
      <c r="ME16" s="44"/>
      <c r="MF16" s="44"/>
      <c r="MG16" s="44"/>
      <c r="MH16" s="44"/>
      <c r="MI16" s="44"/>
      <c r="MJ16" s="44"/>
      <c r="MK16" s="44"/>
      <c r="ML16" s="44"/>
      <c r="MM16" s="44"/>
      <c r="MN16" s="44"/>
      <c r="MO16" s="44"/>
      <c r="MP16" s="44"/>
      <c r="MQ16" s="44"/>
      <c r="MR16" s="44"/>
      <c r="MS16" s="44"/>
      <c r="MT16" s="44"/>
      <c r="MU16" s="44"/>
      <c r="MV16" s="44"/>
      <c r="MW16" s="44"/>
      <c r="MX16" s="44"/>
      <c r="MY16" s="44"/>
      <c r="MZ16" s="44"/>
      <c r="NA16" s="44"/>
      <c r="NB16" s="44"/>
      <c r="NC16" s="44"/>
      <c r="ND16" s="44"/>
      <c r="NE16" s="44"/>
      <c r="NF16" s="44"/>
      <c r="NG16" s="44"/>
      <c r="NH16" s="44"/>
      <c r="NI16" s="44"/>
      <c r="NJ16" s="44"/>
      <c r="NK16" s="44"/>
      <c r="NL16" s="44"/>
      <c r="NM16" s="44"/>
      <c r="NN16" s="44"/>
      <c r="NO16" s="44"/>
      <c r="NP16" s="44"/>
      <c r="NQ16" s="44"/>
      <c r="NR16" s="44"/>
      <c r="NS16" s="44"/>
      <c r="NT16" s="44"/>
      <c r="NU16" s="44"/>
      <c r="NV16" s="44"/>
      <c r="NW16" s="44"/>
      <c r="NX16" s="44"/>
      <c r="NY16" s="44"/>
      <c r="NZ16" s="44"/>
      <c r="OA16" s="44"/>
      <c r="OB16" s="44"/>
      <c r="OC16" s="44"/>
      <c r="OD16" s="44"/>
      <c r="OE16" s="44"/>
      <c r="OF16" s="44"/>
      <c r="OG16" s="44"/>
      <c r="OH16" s="44"/>
      <c r="OI16" s="44"/>
      <c r="OJ16" s="44"/>
      <c r="OK16" s="44"/>
      <c r="OL16" s="44"/>
      <c r="OM16" s="44"/>
      <c r="ON16" s="44"/>
      <c r="OO16" s="44"/>
      <c r="OP16" s="44"/>
      <c r="OQ16" s="44"/>
      <c r="OR16" s="44"/>
      <c r="OS16" s="44"/>
      <c r="OT16" s="44"/>
      <c r="OU16" s="44"/>
      <c r="OV16" s="44"/>
      <c r="OW16" s="44"/>
      <c r="OX16" s="44"/>
      <c r="OY16" s="44"/>
      <c r="OZ16" s="44"/>
      <c r="PA16" s="44"/>
      <c r="PB16" s="44"/>
      <c r="PC16" s="44"/>
      <c r="PD16" s="44"/>
      <c r="PE16" s="44"/>
      <c r="PF16" s="44"/>
      <c r="PG16" s="44"/>
      <c r="PH16" s="44"/>
      <c r="PI16" s="44"/>
      <c r="PJ16" s="44"/>
      <c r="PK16" s="44"/>
      <c r="PL16" s="44"/>
      <c r="PM16" s="44"/>
      <c r="PN16" s="44"/>
      <c r="PO16" s="44"/>
      <c r="PP16" s="44"/>
      <c r="PQ16" s="44"/>
      <c r="PR16" s="44"/>
      <c r="PS16" s="44"/>
      <c r="PT16" s="44"/>
      <c r="PU16" s="44"/>
      <c r="PV16" s="44"/>
      <c r="PW16" s="44"/>
      <c r="PX16" s="44"/>
      <c r="PY16" s="44"/>
      <c r="PZ16" s="44"/>
      <c r="QA16" s="44"/>
      <c r="QB16" s="44"/>
      <c r="QC16" s="44"/>
      <c r="QD16" s="44"/>
      <c r="QE16" s="44"/>
      <c r="QF16" s="44"/>
      <c r="QG16" s="44"/>
      <c r="QH16" s="44"/>
      <c r="QI16" s="44"/>
      <c r="QJ16" s="44"/>
      <c r="QK16" s="44"/>
      <c r="QL16" s="44"/>
      <c r="QM16" s="44"/>
      <c r="QN16" s="44"/>
      <c r="QO16" s="44"/>
      <c r="QP16" s="44"/>
      <c r="QQ16" s="44"/>
      <c r="QR16" s="44"/>
      <c r="QS16" s="44"/>
      <c r="QT16" s="44"/>
      <c r="QU16" s="44"/>
      <c r="QV16" s="44"/>
      <c r="QW16" s="44"/>
      <c r="QX16" s="44"/>
      <c r="QY16" s="44"/>
      <c r="QZ16" s="44"/>
      <c r="RA16" s="44"/>
      <c r="RB16" s="44"/>
      <c r="RC16" s="44"/>
      <c r="RD16" s="44"/>
      <c r="RE16" s="44"/>
      <c r="RF16" s="44"/>
      <c r="RG16" s="44"/>
      <c r="RH16" s="44"/>
      <c r="RI16" s="44"/>
      <c r="RJ16" s="44"/>
      <c r="RK16" s="44"/>
      <c r="RL16" s="44"/>
      <c r="RM16" s="44"/>
      <c r="RN16" s="44"/>
      <c r="RO16" s="44"/>
      <c r="RP16" s="44"/>
      <c r="RQ16" s="44"/>
      <c r="RR16" s="44"/>
      <c r="RS16" s="44"/>
      <c r="RT16" s="44"/>
      <c r="RU16" s="44"/>
      <c r="RV16" s="44"/>
      <c r="RW16" s="44"/>
      <c r="RX16" s="44"/>
      <c r="RY16" s="44"/>
      <c r="RZ16" s="44"/>
      <c r="SA16" s="44"/>
      <c r="SB16" s="44"/>
      <c r="SC16" s="44"/>
      <c r="SD16" s="44"/>
      <c r="SE16" s="44"/>
      <c r="SF16" s="44"/>
      <c r="SG16" s="44"/>
      <c r="SH16" s="44"/>
      <c r="SI16" s="44"/>
      <c r="SJ16" s="44"/>
      <c r="SK16" s="44"/>
      <c r="SL16" s="44"/>
      <c r="SM16" s="44"/>
      <c r="SN16" s="44"/>
      <c r="SO16" s="44"/>
      <c r="SP16" s="44"/>
      <c r="SQ16" s="44"/>
      <c r="SR16" s="44"/>
      <c r="SS16" s="44"/>
      <c r="ST16" s="44"/>
      <c r="SU16" s="44"/>
      <c r="SV16" s="44"/>
      <c r="SW16" s="44"/>
      <c r="SX16" s="44"/>
      <c r="SY16" s="44"/>
      <c r="SZ16" s="44"/>
      <c r="TA16" s="44"/>
      <c r="TB16" s="44"/>
      <c r="TC16" s="44"/>
      <c r="TD16" s="44"/>
      <c r="TE16" s="44"/>
      <c r="TF16" s="44"/>
      <c r="TG16" s="44"/>
      <c r="TH16" s="44"/>
      <c r="TI16" s="44"/>
      <c r="TJ16" s="44"/>
      <c r="TK16" s="44"/>
      <c r="TL16" s="44"/>
      <c r="TM16" s="44"/>
      <c r="TN16" s="44"/>
      <c r="TO16" s="44"/>
      <c r="TP16" s="44"/>
      <c r="TQ16" s="44"/>
      <c r="TR16" s="44"/>
      <c r="TS16" s="44"/>
      <c r="TT16" s="44"/>
      <c r="TU16" s="44"/>
      <c r="TV16" s="44"/>
      <c r="TW16" s="44"/>
      <c r="TX16" s="44"/>
      <c r="TY16" s="44"/>
      <c r="TZ16" s="44"/>
      <c r="UA16" s="44"/>
      <c r="UB16" s="44"/>
      <c r="UC16" s="44"/>
      <c r="UD16" s="44"/>
      <c r="UE16" s="44"/>
      <c r="UF16" s="44"/>
      <c r="UG16" s="44"/>
      <c r="UH16" s="44"/>
      <c r="UI16" s="44"/>
      <c r="UJ16" s="44"/>
      <c r="UK16" s="44"/>
      <c r="UL16" s="44"/>
      <c r="UM16" s="44"/>
      <c r="UN16" s="44"/>
      <c r="UO16" s="44"/>
      <c r="UP16" s="44"/>
      <c r="UQ16" s="44"/>
      <c r="UR16" s="44"/>
      <c r="US16" s="44"/>
      <c r="UT16" s="44"/>
      <c r="UU16" s="44"/>
      <c r="UV16" s="44"/>
      <c r="UW16" s="44"/>
      <c r="UX16" s="44"/>
      <c r="UY16" s="44"/>
      <c r="UZ16" s="44"/>
      <c r="VA16" s="44"/>
      <c r="VB16" s="44"/>
      <c r="VC16" s="44"/>
      <c r="VD16" s="44"/>
      <c r="VE16" s="44"/>
      <c r="VF16" s="44"/>
      <c r="VG16" s="44"/>
      <c r="VH16" s="44"/>
      <c r="VI16" s="44"/>
      <c r="VJ16" s="44"/>
      <c r="VK16" s="44"/>
      <c r="VL16" s="44"/>
      <c r="VM16" s="44"/>
      <c r="VN16" s="44"/>
      <c r="VO16" s="44"/>
      <c r="VP16" s="44"/>
      <c r="VQ16" s="44"/>
      <c r="VR16" s="44"/>
      <c r="VS16" s="44"/>
      <c r="VT16" s="44"/>
      <c r="VU16" s="44"/>
      <c r="VV16" s="44"/>
      <c r="VW16" s="44"/>
      <c r="VX16" s="44"/>
      <c r="VY16" s="44"/>
      <c r="VZ16" s="44"/>
      <c r="WA16" s="44"/>
      <c r="WB16" s="44"/>
      <c r="WC16" s="44"/>
      <c r="WD16" s="44"/>
      <c r="WE16" s="44"/>
      <c r="WF16" s="44"/>
      <c r="WG16" s="44"/>
      <c r="WH16" s="44"/>
      <c r="WI16" s="44"/>
      <c r="WJ16" s="44"/>
      <c r="WK16" s="44"/>
      <c r="WL16" s="44"/>
      <c r="WM16" s="44"/>
      <c r="WN16" s="44"/>
      <c r="WO16" s="44"/>
      <c r="WP16" s="44"/>
      <c r="WQ16" s="44"/>
      <c r="WR16" s="44"/>
      <c r="WS16" s="44"/>
      <c r="WT16" s="44"/>
      <c r="WU16" s="44"/>
      <c r="WV16" s="44"/>
      <c r="WW16" s="44"/>
      <c r="WX16" s="44"/>
      <c r="WY16" s="44"/>
      <c r="WZ16" s="44"/>
      <c r="XA16" s="44"/>
      <c r="XB16" s="44"/>
      <c r="XC16" s="44"/>
      <c r="XD16" s="44"/>
      <c r="XE16" s="44"/>
      <c r="XF16" s="44"/>
      <c r="XG16" s="44"/>
      <c r="XH16" s="44"/>
      <c r="XI16" s="44"/>
      <c r="XJ16" s="44"/>
      <c r="XK16" s="44"/>
      <c r="XL16" s="44"/>
      <c r="XM16" s="44"/>
      <c r="XN16" s="44"/>
      <c r="XO16" s="44"/>
      <c r="XP16" s="44"/>
      <c r="XQ16" s="44"/>
      <c r="XR16" s="44"/>
      <c r="XS16" s="44"/>
      <c r="XT16" s="44"/>
      <c r="XU16" s="44"/>
      <c r="XV16" s="44"/>
      <c r="XW16" s="44"/>
      <c r="XX16" s="44"/>
      <c r="XY16" s="44"/>
      <c r="XZ16" s="44"/>
      <c r="YA16" s="44"/>
      <c r="YB16" s="44"/>
      <c r="YC16" s="44"/>
      <c r="YD16" s="44"/>
      <c r="YE16" s="44"/>
      <c r="YF16" s="44"/>
      <c r="YG16" s="44"/>
      <c r="YH16" s="44"/>
      <c r="YI16" s="44"/>
      <c r="YJ16" s="44"/>
      <c r="YK16" s="44"/>
      <c r="YL16" s="44"/>
      <c r="YM16" s="44"/>
      <c r="YN16" s="44"/>
      <c r="YO16" s="44"/>
      <c r="YP16" s="44"/>
      <c r="YQ16" s="44"/>
      <c r="YR16" s="44"/>
      <c r="YS16" s="44"/>
      <c r="YT16" s="44"/>
      <c r="YU16" s="44"/>
      <c r="YV16" s="44"/>
      <c r="YW16" s="44"/>
      <c r="YX16" s="44"/>
      <c r="YY16" s="44"/>
      <c r="YZ16" s="44"/>
      <c r="ZA16" s="44"/>
      <c r="ZB16" s="44"/>
      <c r="ZC16" s="44"/>
      <c r="ZD16" s="44"/>
      <c r="ZE16" s="44"/>
      <c r="ZF16" s="44"/>
      <c r="ZG16" s="44"/>
      <c r="ZH16" s="44"/>
      <c r="ZI16" s="44"/>
      <c r="ZJ16" s="44"/>
      <c r="ZK16" s="44"/>
      <c r="ZL16" s="44"/>
      <c r="ZM16" s="44"/>
      <c r="ZN16" s="44"/>
      <c r="ZO16" s="44"/>
      <c r="ZP16" s="44"/>
      <c r="ZQ16" s="44"/>
      <c r="ZR16" s="44"/>
      <c r="ZS16" s="44"/>
      <c r="ZT16" s="44"/>
      <c r="ZU16" s="44"/>
      <c r="ZV16" s="44"/>
      <c r="ZW16" s="44"/>
      <c r="ZX16" s="44"/>
      <c r="ZY16" s="44"/>
      <c r="ZZ16" s="44"/>
      <c r="AAA16" s="44"/>
      <c r="AAB16" s="44"/>
      <c r="AAC16" s="44"/>
      <c r="AAD16" s="44"/>
      <c r="AAE16" s="44"/>
      <c r="AAF16" s="44"/>
      <c r="AAG16" s="44"/>
      <c r="AAH16" s="44"/>
      <c r="AAI16" s="44"/>
      <c r="AAJ16" s="44"/>
      <c r="AAK16" s="44"/>
      <c r="AAL16" s="44"/>
      <c r="AAM16" s="44"/>
      <c r="AAN16" s="44"/>
      <c r="AAO16" s="44"/>
      <c r="AAP16" s="44"/>
      <c r="AAQ16" s="44"/>
      <c r="AAR16" s="44"/>
      <c r="AAS16" s="44"/>
      <c r="AAT16" s="44"/>
      <c r="AAU16" s="44"/>
      <c r="AAV16" s="44"/>
      <c r="AAW16" s="44"/>
      <c r="AAX16" s="44"/>
      <c r="AAY16" s="44"/>
      <c r="AAZ16" s="44"/>
      <c r="ABA16" s="44"/>
      <c r="ABB16" s="44"/>
      <c r="ABC16" s="44"/>
      <c r="ABD16" s="44"/>
      <c r="ABE16" s="44"/>
      <c r="ABF16" s="44"/>
      <c r="ABG16" s="44"/>
      <c r="ABH16" s="44"/>
      <c r="ABI16" s="44"/>
      <c r="ABJ16" s="44"/>
      <c r="ABK16" s="44"/>
      <c r="ABL16" s="44"/>
      <c r="ABM16" s="44"/>
      <c r="ABN16" s="44"/>
      <c r="ABO16" s="44"/>
      <c r="ABP16" s="44"/>
      <c r="ABQ16" s="44"/>
      <c r="ABR16" s="44"/>
      <c r="ABS16" s="44"/>
      <c r="ABT16" s="44"/>
      <c r="ABU16" s="44"/>
      <c r="ABV16" s="44"/>
      <c r="ABW16" s="44"/>
      <c r="ABX16" s="44"/>
      <c r="ABY16" s="44"/>
      <c r="ABZ16" s="44"/>
      <c r="ACA16" s="44"/>
      <c r="ACB16" s="44"/>
      <c r="ACC16" s="44"/>
      <c r="ACD16" s="44"/>
      <c r="ACE16" s="44"/>
      <c r="ACF16" s="44"/>
      <c r="ACG16" s="44"/>
      <c r="ACH16" s="44"/>
      <c r="ACI16" s="44"/>
      <c r="ACJ16" s="44"/>
      <c r="ACK16" s="44"/>
      <c r="ACL16" s="44"/>
      <c r="ACM16" s="44"/>
      <c r="ACN16" s="44"/>
      <c r="ACO16" s="44"/>
      <c r="ACP16" s="44"/>
      <c r="ACQ16" s="44"/>
      <c r="ACR16" s="44"/>
      <c r="ACS16" s="44"/>
      <c r="ACT16" s="44"/>
      <c r="ACU16" s="44"/>
      <c r="ACV16" s="44"/>
      <c r="ACW16" s="44"/>
      <c r="ACX16" s="44"/>
      <c r="ACY16" s="44"/>
      <c r="ACZ16" s="44"/>
      <c r="ADA16" s="44"/>
      <c r="ADB16" s="44"/>
      <c r="ADC16" s="44"/>
      <c r="ADD16" s="44"/>
      <c r="ADE16" s="44"/>
      <c r="ADF16" s="44"/>
      <c r="ADG16" s="44"/>
      <c r="ADH16" s="44"/>
      <c r="ADI16" s="44"/>
      <c r="ADJ16" s="44"/>
      <c r="ADK16" s="44"/>
      <c r="ADL16" s="44"/>
      <c r="ADM16" s="44"/>
      <c r="ADN16" s="44"/>
      <c r="ADO16" s="44"/>
      <c r="ADP16" s="44"/>
      <c r="ADQ16" s="44"/>
      <c r="ADR16" s="44"/>
      <c r="ADS16" s="44"/>
      <c r="ADT16" s="44"/>
      <c r="ADU16" s="44"/>
      <c r="ADV16" s="44"/>
      <c r="ADW16" s="44"/>
      <c r="ADX16" s="44"/>
      <c r="ADY16" s="44"/>
      <c r="ADZ16" s="44"/>
      <c r="AEA16" s="44"/>
      <c r="AEB16" s="44"/>
      <c r="AEC16" s="44"/>
      <c r="AED16" s="44"/>
      <c r="AEE16" s="44"/>
      <c r="AEF16" s="44"/>
      <c r="AEG16" s="44"/>
      <c r="AEH16" s="44"/>
      <c r="AEI16" s="44"/>
      <c r="AEJ16" s="44"/>
      <c r="AEK16" s="44"/>
      <c r="AEL16" s="44"/>
      <c r="AEM16" s="44"/>
      <c r="AEN16" s="44"/>
      <c r="AEO16" s="44"/>
      <c r="AEP16" s="44"/>
      <c r="AEQ16" s="44"/>
      <c r="AER16" s="44"/>
      <c r="AES16" s="44"/>
      <c r="AET16" s="44"/>
      <c r="AEU16" s="44"/>
      <c r="AEV16" s="44"/>
      <c r="AEW16" s="44"/>
      <c r="AEX16" s="44"/>
      <c r="AEY16" s="44"/>
      <c r="AEZ16" s="44"/>
      <c r="AFA16" s="44"/>
      <c r="AFB16" s="44"/>
      <c r="AFC16" s="44"/>
      <c r="AFD16" s="44"/>
      <c r="AFE16" s="44"/>
      <c r="AFF16" s="44"/>
      <c r="AFG16" s="44"/>
      <c r="AFH16" s="44"/>
      <c r="AFI16" s="44"/>
      <c r="AFJ16" s="44"/>
      <c r="AFK16" s="44"/>
      <c r="AFL16" s="44"/>
      <c r="AFM16" s="44"/>
      <c r="AFN16" s="44"/>
      <c r="AFO16" s="44"/>
      <c r="AFP16" s="44"/>
      <c r="AFQ16" s="44"/>
      <c r="AFR16" s="44"/>
      <c r="AFS16" s="44"/>
      <c r="AFT16" s="44"/>
      <c r="AFU16" s="44"/>
      <c r="AFV16" s="44"/>
      <c r="AFW16" s="44"/>
      <c r="AFX16" s="44"/>
      <c r="AFY16" s="44"/>
      <c r="AFZ16" s="44"/>
      <c r="AGA16" s="44"/>
      <c r="AGB16" s="44"/>
      <c r="AGC16" s="44"/>
      <c r="AGD16" s="44"/>
      <c r="AGE16" s="44"/>
      <c r="AGF16" s="44"/>
      <c r="AGG16" s="44"/>
      <c r="AGH16" s="44"/>
      <c r="AGI16" s="44"/>
      <c r="AGJ16" s="44"/>
      <c r="AGK16" s="44"/>
      <c r="AGL16" s="44"/>
      <c r="AGM16" s="44"/>
      <c r="AGN16" s="44"/>
      <c r="AGO16" s="44"/>
      <c r="AGP16" s="44"/>
      <c r="AGQ16" s="44"/>
      <c r="AGR16" s="44"/>
      <c r="AGS16" s="44"/>
      <c r="AGT16" s="44"/>
      <c r="AGU16" s="44"/>
      <c r="AGV16" s="44"/>
      <c r="AGW16" s="44"/>
      <c r="AGX16" s="44"/>
      <c r="AGY16" s="44"/>
      <c r="AGZ16" s="44"/>
      <c r="AHA16" s="44"/>
      <c r="AHB16" s="44"/>
      <c r="AHC16" s="44"/>
      <c r="AHD16" s="44"/>
      <c r="AHE16" s="44"/>
      <c r="AHF16" s="44"/>
      <c r="AHG16" s="44"/>
      <c r="AHH16" s="44"/>
      <c r="AHI16" s="44"/>
      <c r="AHJ16" s="44"/>
      <c r="AHK16" s="44"/>
      <c r="AHL16" s="44"/>
      <c r="AHM16" s="44"/>
      <c r="AHN16" s="44"/>
      <c r="AHO16" s="44"/>
      <c r="AHP16" s="44"/>
      <c r="AHQ16" s="44"/>
      <c r="AHR16" s="44"/>
      <c r="AHS16" s="44"/>
      <c r="AHT16" s="44"/>
      <c r="AHU16" s="44"/>
      <c r="AHV16" s="44"/>
      <c r="AHW16" s="44"/>
      <c r="AHX16" s="44"/>
      <c r="AHY16" s="44"/>
      <c r="AHZ16" s="44"/>
      <c r="AIA16" s="44"/>
      <c r="AIB16" s="44"/>
      <c r="AIC16" s="44"/>
      <c r="AID16" s="44"/>
      <c r="AIE16" s="44"/>
      <c r="AIF16" s="44"/>
      <c r="AIG16" s="44"/>
      <c r="AIH16" s="44"/>
      <c r="AII16" s="44"/>
      <c r="AIJ16" s="44"/>
      <c r="AIK16" s="44"/>
      <c r="AIL16" s="44"/>
      <c r="AIM16" s="44"/>
      <c r="AIN16" s="44"/>
      <c r="AIO16" s="44"/>
      <c r="AIP16" s="44"/>
      <c r="AIQ16" s="44"/>
      <c r="AIR16" s="44"/>
      <c r="AIS16" s="44"/>
      <c r="AIT16" s="44"/>
      <c r="AIU16" s="44"/>
      <c r="AIV16" s="44"/>
      <c r="AIW16" s="44"/>
      <c r="AIX16" s="44"/>
      <c r="AIY16" s="44"/>
      <c r="AIZ16" s="44"/>
      <c r="AJA16" s="44"/>
      <c r="AJB16" s="44"/>
      <c r="AJC16" s="44"/>
      <c r="AJD16" s="44"/>
      <c r="AJE16" s="44"/>
      <c r="AJF16" s="44"/>
      <c r="AJG16" s="44"/>
      <c r="AJH16" s="44"/>
      <c r="AJI16" s="44"/>
      <c r="AJJ16" s="44"/>
      <c r="AJK16" s="44"/>
      <c r="AJL16" s="44"/>
      <c r="AJM16" s="44"/>
      <c r="AJN16" s="44"/>
      <c r="AJO16" s="44"/>
      <c r="AJP16" s="44"/>
      <c r="AJQ16" s="44"/>
      <c r="AJR16" s="44"/>
      <c r="AJS16" s="44"/>
      <c r="AJT16" s="44"/>
      <c r="AJU16" s="44"/>
      <c r="AJV16" s="44"/>
      <c r="AJW16" s="44"/>
      <c r="AJX16" s="44"/>
      <c r="AJY16" s="44"/>
      <c r="AJZ16" s="44"/>
      <c r="AKA16" s="44"/>
      <c r="AKB16" s="44"/>
      <c r="AKC16" s="44"/>
      <c r="AKD16" s="44"/>
      <c r="AKE16" s="44"/>
      <c r="AKF16" s="44"/>
      <c r="AKG16" s="44"/>
      <c r="AKH16" s="44"/>
      <c r="AKI16" s="44"/>
      <c r="AKJ16" s="44"/>
      <c r="AKK16" s="44"/>
      <c r="AKL16" s="44"/>
      <c r="AKM16" s="44"/>
      <c r="AKN16" s="44"/>
      <c r="AKO16" s="44"/>
      <c r="AKP16" s="44"/>
      <c r="AKQ16" s="44"/>
      <c r="AKR16" s="44"/>
      <c r="AKS16" s="44"/>
      <c r="AKT16" s="44"/>
      <c r="AKU16" s="44"/>
      <c r="AKV16" s="44"/>
      <c r="AKW16" s="44"/>
      <c r="AKX16" s="44"/>
      <c r="AKY16" s="44"/>
      <c r="AKZ16" s="44"/>
      <c r="ALA16" s="44"/>
      <c r="ALB16" s="44"/>
      <c r="ALC16" s="44"/>
      <c r="ALD16" s="44"/>
      <c r="ALE16" s="44"/>
      <c r="ALF16" s="44"/>
      <c r="ALG16" s="44"/>
      <c r="ALH16" s="44"/>
      <c r="ALI16" s="44"/>
      <c r="ALJ16" s="44"/>
      <c r="ALK16" s="44"/>
      <c r="ALL16" s="44"/>
      <c r="ALM16" s="44"/>
      <c r="ALN16" s="44"/>
      <c r="ALO16" s="44"/>
      <c r="ALP16" s="44"/>
      <c r="ALQ16" s="44"/>
      <c r="ALR16" s="44"/>
      <c r="ALS16" s="44"/>
      <c r="ALT16" s="44"/>
      <c r="ALU16" s="44"/>
      <c r="ALV16" s="44"/>
      <c r="ALW16" s="44"/>
      <c r="ALX16" s="44"/>
      <c r="ALY16" s="44"/>
      <c r="ALZ16" s="44"/>
      <c r="AMA16" s="44"/>
      <c r="AMB16" s="44"/>
      <c r="AMC16" s="44"/>
      <c r="AMD16" s="44"/>
      <c r="AME16" s="44"/>
      <c r="AMF16" s="44"/>
      <c r="AMG16" s="44"/>
      <c r="AMH16" s="44"/>
      <c r="AMI16" s="44"/>
      <c r="AMJ16" s="44"/>
      <c r="AMK16" s="44"/>
      <c r="AML16" s="44"/>
      <c r="AMM16" s="44"/>
      <c r="AMN16" s="44"/>
      <c r="AMO16" s="44"/>
      <c r="AMP16" s="44"/>
      <c r="AMQ16" s="44"/>
    </row>
    <row r="17" spans="1:22" s="44" customFormat="1" ht="25.5" x14ac:dyDescent="0.2">
      <c r="A17" s="42" t="s">
        <v>318</v>
      </c>
      <c r="B17" s="42" t="s">
        <v>319</v>
      </c>
      <c r="C17" s="42" t="s">
        <v>276</v>
      </c>
      <c r="D17" s="42" t="s">
        <v>320</v>
      </c>
      <c r="E17" s="42"/>
      <c r="F17" s="42"/>
      <c r="G17" s="42">
        <v>21</v>
      </c>
      <c r="H17" s="42" t="s">
        <v>278</v>
      </c>
      <c r="I17" s="42"/>
      <c r="J17" s="42">
        <v>120</v>
      </c>
      <c r="K17" s="42" t="s">
        <v>285</v>
      </c>
      <c r="L17" s="42"/>
      <c r="M17" s="42"/>
      <c r="N17" s="42"/>
      <c r="O17" s="42"/>
      <c r="P17" s="42"/>
      <c r="Q17" s="42" t="s">
        <v>325</v>
      </c>
      <c r="R17" s="42"/>
      <c r="S17" s="42"/>
      <c r="T17" s="42"/>
      <c r="U17" s="42"/>
      <c r="V17" s="43">
        <v>44607</v>
      </c>
    </row>
    <row r="18" spans="1:22" s="44" customFormat="1" x14ac:dyDescent="0.2">
      <c r="A18" s="42" t="s">
        <v>318</v>
      </c>
      <c r="B18" s="42" t="s">
        <v>319</v>
      </c>
      <c r="C18" s="42" t="s">
        <v>276</v>
      </c>
      <c r="D18" s="42" t="s">
        <v>320</v>
      </c>
      <c r="E18" s="42"/>
      <c r="F18" s="42"/>
      <c r="G18" s="42">
        <v>22</v>
      </c>
      <c r="H18" s="42" t="s">
        <v>278</v>
      </c>
      <c r="I18" s="42"/>
      <c r="J18" s="42">
        <v>240</v>
      </c>
      <c r="K18" s="42" t="s">
        <v>285</v>
      </c>
      <c r="L18" s="42"/>
      <c r="M18" s="42"/>
      <c r="N18" s="42"/>
      <c r="O18" s="42"/>
      <c r="P18" s="42"/>
      <c r="Q18" s="42" t="s">
        <v>326</v>
      </c>
      <c r="R18" s="42"/>
      <c r="S18" s="42"/>
      <c r="T18" s="42"/>
      <c r="U18" s="42"/>
      <c r="V18" s="43">
        <v>44607</v>
      </c>
    </row>
    <row r="19" spans="1:22" s="44" customFormat="1" ht="25.5" x14ac:dyDescent="0.2">
      <c r="A19" s="42" t="s">
        <v>318</v>
      </c>
      <c r="B19" s="42" t="s">
        <v>319</v>
      </c>
      <c r="C19" s="42" t="s">
        <v>276</v>
      </c>
      <c r="D19" s="42" t="s">
        <v>320</v>
      </c>
      <c r="E19" s="42"/>
      <c r="F19" s="42"/>
      <c r="G19" s="42">
        <v>22</v>
      </c>
      <c r="H19" s="42" t="s">
        <v>278</v>
      </c>
      <c r="I19" s="42"/>
      <c r="J19" s="42">
        <v>240</v>
      </c>
      <c r="K19" s="42" t="s">
        <v>327</v>
      </c>
      <c r="L19" s="42"/>
      <c r="M19" s="42"/>
      <c r="N19" s="42"/>
      <c r="O19" s="42"/>
      <c r="P19" s="42"/>
      <c r="Q19" s="42" t="s">
        <v>328</v>
      </c>
      <c r="R19" s="42"/>
      <c r="S19" s="42"/>
      <c r="T19" s="42"/>
      <c r="U19" s="42"/>
      <c r="V19" s="43">
        <v>44607</v>
      </c>
    </row>
    <row r="20" spans="1:22" s="44" customFormat="1" ht="25.5" x14ac:dyDescent="0.2">
      <c r="A20" s="42" t="s">
        <v>318</v>
      </c>
      <c r="B20" s="42" t="s">
        <v>319</v>
      </c>
      <c r="C20" s="42" t="s">
        <v>276</v>
      </c>
      <c r="D20" s="42" t="s">
        <v>320</v>
      </c>
      <c r="E20" s="42"/>
      <c r="F20" s="42"/>
      <c r="G20" s="42">
        <v>23</v>
      </c>
      <c r="H20" s="42" t="s">
        <v>278</v>
      </c>
      <c r="I20" s="42"/>
      <c r="J20" s="42">
        <v>120</v>
      </c>
      <c r="K20" s="42" t="s">
        <v>329</v>
      </c>
      <c r="L20" s="42" t="s">
        <v>329</v>
      </c>
      <c r="M20" s="42" t="s">
        <v>330</v>
      </c>
      <c r="N20" s="42"/>
      <c r="O20" s="42"/>
      <c r="P20" s="42"/>
      <c r="Q20" s="42" t="s">
        <v>331</v>
      </c>
      <c r="R20" s="42"/>
      <c r="S20" s="42"/>
      <c r="T20" s="42"/>
      <c r="U20" s="42"/>
      <c r="V20" s="43">
        <v>44607</v>
      </c>
    </row>
    <row r="21" spans="1:22" s="44" customFormat="1" ht="51" x14ac:dyDescent="0.2">
      <c r="A21" s="42" t="s">
        <v>318</v>
      </c>
      <c r="B21" s="42" t="s">
        <v>319</v>
      </c>
      <c r="C21" s="42" t="s">
        <v>276</v>
      </c>
      <c r="D21" s="42" t="s">
        <v>320</v>
      </c>
      <c r="E21" s="42"/>
      <c r="F21" s="42"/>
      <c r="G21" s="42">
        <v>24</v>
      </c>
      <c r="H21" s="42" t="s">
        <v>284</v>
      </c>
      <c r="I21" s="42"/>
      <c r="J21" s="42"/>
      <c r="K21" s="42" t="s">
        <v>285</v>
      </c>
      <c r="L21" s="42"/>
      <c r="M21" s="42"/>
      <c r="N21" s="42"/>
      <c r="O21" s="42"/>
      <c r="P21" s="42"/>
      <c r="Q21" s="42" t="s">
        <v>332</v>
      </c>
      <c r="R21" s="42"/>
      <c r="S21" s="42"/>
      <c r="T21" s="42"/>
      <c r="U21" s="42"/>
      <c r="V21" s="43">
        <v>44607</v>
      </c>
    </row>
    <row r="22" spans="1:22" s="44" customFormat="1" ht="25.5" x14ac:dyDescent="0.2">
      <c r="A22" s="42" t="s">
        <v>333</v>
      </c>
      <c r="B22" s="42" t="s">
        <v>319</v>
      </c>
      <c r="C22" s="42" t="s">
        <v>334</v>
      </c>
      <c r="D22" s="42" t="s">
        <v>334</v>
      </c>
      <c r="E22" s="42"/>
      <c r="F22" s="42"/>
      <c r="G22" s="42">
        <v>21</v>
      </c>
      <c r="H22" s="42" t="s">
        <v>278</v>
      </c>
      <c r="I22" s="42"/>
      <c r="J22" s="42">
        <v>120</v>
      </c>
      <c r="K22" s="42" t="s">
        <v>285</v>
      </c>
      <c r="L22" s="42"/>
      <c r="M22" s="42"/>
      <c r="N22" s="42"/>
      <c r="O22" s="42"/>
      <c r="P22" s="42"/>
      <c r="Q22" s="42" t="s">
        <v>328</v>
      </c>
      <c r="R22" s="42"/>
      <c r="S22" s="42"/>
      <c r="T22" s="42" t="s">
        <v>335</v>
      </c>
      <c r="U22" s="42"/>
      <c r="V22" s="43">
        <v>44607</v>
      </c>
    </row>
    <row r="23" spans="1:22" s="44" customFormat="1" x14ac:dyDescent="0.2">
      <c r="A23" s="42" t="s">
        <v>336</v>
      </c>
      <c r="B23" s="42" t="s">
        <v>319</v>
      </c>
      <c r="C23" s="42" t="s">
        <v>309</v>
      </c>
      <c r="D23" s="42" t="s">
        <v>337</v>
      </c>
      <c r="E23" s="42"/>
      <c r="F23" s="42"/>
      <c r="G23" s="42">
        <v>21</v>
      </c>
      <c r="H23" s="42" t="s">
        <v>278</v>
      </c>
      <c r="I23" s="42"/>
      <c r="J23" s="42">
        <v>240</v>
      </c>
      <c r="K23" s="42" t="s">
        <v>285</v>
      </c>
      <c r="L23" s="42"/>
      <c r="M23" s="42"/>
      <c r="N23" s="42"/>
      <c r="O23" s="42"/>
      <c r="P23" s="42"/>
      <c r="Q23" s="42" t="s">
        <v>326</v>
      </c>
      <c r="R23" s="42"/>
      <c r="S23" s="42"/>
      <c r="T23" s="42"/>
      <c r="U23" s="42"/>
      <c r="V23" s="43">
        <v>44607</v>
      </c>
    </row>
    <row r="24" spans="1:22" s="44" customFormat="1" ht="51" x14ac:dyDescent="0.2">
      <c r="A24" s="42" t="s">
        <v>336</v>
      </c>
      <c r="B24" s="42" t="s">
        <v>319</v>
      </c>
      <c r="C24" s="42" t="s">
        <v>309</v>
      </c>
      <c r="D24" s="42" t="s">
        <v>337</v>
      </c>
      <c r="E24" s="42"/>
      <c r="F24" s="42"/>
      <c r="G24" s="42">
        <v>24</v>
      </c>
      <c r="H24" s="42" t="s">
        <v>284</v>
      </c>
      <c r="I24" s="42"/>
      <c r="J24" s="42"/>
      <c r="K24" s="42" t="s">
        <v>285</v>
      </c>
      <c r="L24" s="42"/>
      <c r="M24" s="42"/>
      <c r="N24" s="42"/>
      <c r="O24" s="42"/>
      <c r="P24" s="42"/>
      <c r="Q24" s="42" t="s">
        <v>332</v>
      </c>
      <c r="R24" s="42"/>
      <c r="S24" s="42"/>
      <c r="T24" s="42"/>
      <c r="U24" s="42"/>
      <c r="V24" s="43">
        <v>44607</v>
      </c>
    </row>
    <row r="25" spans="1:22" s="44" customFormat="1" ht="25.5" x14ac:dyDescent="0.2">
      <c r="A25" s="42" t="s">
        <v>336</v>
      </c>
      <c r="B25" s="42" t="s">
        <v>319</v>
      </c>
      <c r="C25" s="42" t="s">
        <v>309</v>
      </c>
      <c r="D25" s="42" t="s">
        <v>337</v>
      </c>
      <c r="E25" s="42"/>
      <c r="F25" s="42"/>
      <c r="G25" s="42">
        <v>21</v>
      </c>
      <c r="H25" s="42" t="s">
        <v>278</v>
      </c>
      <c r="I25" s="42"/>
      <c r="J25" s="42">
        <v>120</v>
      </c>
      <c r="K25" s="42" t="s">
        <v>338</v>
      </c>
      <c r="L25" s="42"/>
      <c r="M25" s="42"/>
      <c r="N25" s="42"/>
      <c r="O25" s="42"/>
      <c r="P25" s="42"/>
      <c r="Q25" s="42" t="s">
        <v>328</v>
      </c>
      <c r="R25" s="42"/>
      <c r="S25" s="42"/>
      <c r="T25" s="42"/>
      <c r="U25" s="42"/>
      <c r="V25" s="43">
        <v>44607</v>
      </c>
    </row>
    <row r="26" spans="1:22" s="44" customFormat="1" ht="25.5" x14ac:dyDescent="0.2">
      <c r="A26" s="42" t="s">
        <v>336</v>
      </c>
      <c r="B26" s="42" t="s">
        <v>319</v>
      </c>
      <c r="C26" s="42" t="s">
        <v>309</v>
      </c>
      <c r="D26" s="42" t="s">
        <v>337</v>
      </c>
      <c r="E26" s="42"/>
      <c r="F26" s="42"/>
      <c r="G26" s="42">
        <v>21</v>
      </c>
      <c r="H26" s="42" t="s">
        <v>278</v>
      </c>
      <c r="I26" s="42"/>
      <c r="J26" s="42">
        <v>120</v>
      </c>
      <c r="K26" s="42" t="s">
        <v>285</v>
      </c>
      <c r="L26" s="42"/>
      <c r="M26" s="42"/>
      <c r="N26" s="42"/>
      <c r="O26" s="42"/>
      <c r="P26" s="42"/>
      <c r="Q26" s="42" t="s">
        <v>325</v>
      </c>
      <c r="R26" s="42"/>
      <c r="S26" s="42"/>
      <c r="T26" s="42"/>
      <c r="U26" s="42"/>
      <c r="V26" s="43">
        <v>44607</v>
      </c>
    </row>
    <row r="27" spans="1:22" s="44" customFormat="1" x14ac:dyDescent="0.2">
      <c r="A27" s="42" t="s">
        <v>336</v>
      </c>
      <c r="B27" s="42" t="s">
        <v>319</v>
      </c>
      <c r="C27" s="42" t="s">
        <v>309</v>
      </c>
      <c r="D27" s="42" t="s">
        <v>337</v>
      </c>
      <c r="E27" s="42"/>
      <c r="F27" s="42"/>
      <c r="G27" s="42">
        <v>25</v>
      </c>
      <c r="H27" s="42" t="s">
        <v>278</v>
      </c>
      <c r="I27" s="42"/>
      <c r="J27" s="42">
        <v>120</v>
      </c>
      <c r="K27" s="42" t="s">
        <v>285</v>
      </c>
      <c r="L27" s="42"/>
      <c r="M27" s="42"/>
      <c r="N27" s="42"/>
      <c r="O27" s="42"/>
      <c r="P27" s="42"/>
      <c r="Q27" s="42" t="s">
        <v>321</v>
      </c>
      <c r="R27" s="42"/>
      <c r="S27" s="42"/>
      <c r="T27" s="42"/>
      <c r="U27" s="42"/>
      <c r="V27" s="43">
        <v>44607</v>
      </c>
    </row>
    <row r="28" spans="1:22" s="44" customFormat="1" ht="38.25" x14ac:dyDescent="0.2">
      <c r="A28" s="42" t="s">
        <v>336</v>
      </c>
      <c r="B28" s="42" t="s">
        <v>319</v>
      </c>
      <c r="C28" s="42" t="s">
        <v>309</v>
      </c>
      <c r="D28" s="42" t="s">
        <v>337</v>
      </c>
      <c r="E28" s="42"/>
      <c r="F28" s="42"/>
      <c r="G28" s="42">
        <v>24</v>
      </c>
      <c r="H28" s="42" t="s">
        <v>284</v>
      </c>
      <c r="I28" s="42"/>
      <c r="J28" s="42"/>
      <c r="K28" s="42" t="s">
        <v>285</v>
      </c>
      <c r="L28" s="42"/>
      <c r="M28" s="42"/>
      <c r="N28" s="42"/>
      <c r="O28" s="42"/>
      <c r="P28" s="42"/>
      <c r="Q28" s="42" t="s">
        <v>324</v>
      </c>
      <c r="R28" s="42"/>
      <c r="S28" s="42"/>
      <c r="T28" s="42"/>
      <c r="U28" s="42"/>
      <c r="V28" s="43">
        <v>44607</v>
      </c>
    </row>
    <row r="29" spans="1:22" s="44" customFormat="1" x14ac:dyDescent="0.2">
      <c r="A29" s="42" t="s">
        <v>336</v>
      </c>
      <c r="B29" s="42" t="s">
        <v>319</v>
      </c>
      <c r="C29" s="42" t="s">
        <v>309</v>
      </c>
      <c r="D29" s="42" t="s">
        <v>337</v>
      </c>
      <c r="E29" s="42"/>
      <c r="F29" s="42"/>
      <c r="G29" s="42">
        <v>24</v>
      </c>
      <c r="H29" s="42" t="s">
        <v>284</v>
      </c>
      <c r="I29" s="42"/>
      <c r="J29" s="42"/>
      <c r="K29" s="42" t="s">
        <v>285</v>
      </c>
      <c r="L29" s="42"/>
      <c r="M29" s="42"/>
      <c r="N29" s="42"/>
      <c r="O29" s="42"/>
      <c r="P29" s="42"/>
      <c r="Q29" s="42" t="s">
        <v>323</v>
      </c>
      <c r="R29" s="42"/>
      <c r="S29" s="42"/>
      <c r="T29" s="42"/>
      <c r="U29" s="42"/>
      <c r="V29" s="43">
        <v>44607</v>
      </c>
    </row>
    <row r="30" spans="1:22" s="44" customFormat="1" x14ac:dyDescent="0.2">
      <c r="A30" s="42" t="s">
        <v>336</v>
      </c>
      <c r="B30" s="42" t="s">
        <v>319</v>
      </c>
      <c r="C30" s="42" t="s">
        <v>309</v>
      </c>
      <c r="D30" s="42" t="s">
        <v>337</v>
      </c>
      <c r="E30" s="42"/>
      <c r="F30" s="42"/>
      <c r="G30" s="42">
        <v>21</v>
      </c>
      <c r="H30" s="42" t="s">
        <v>278</v>
      </c>
      <c r="I30" s="42"/>
      <c r="J30" s="42">
        <v>120</v>
      </c>
      <c r="K30" s="42" t="s">
        <v>285</v>
      </c>
      <c r="L30" s="42"/>
      <c r="M30" s="42"/>
      <c r="N30" s="42"/>
      <c r="O30" s="42"/>
      <c r="P30" s="42"/>
      <c r="Q30" s="42" t="s">
        <v>322</v>
      </c>
      <c r="R30" s="42"/>
      <c r="S30" s="42"/>
      <c r="T30" s="42"/>
      <c r="U30" s="42"/>
      <c r="V30" s="43">
        <v>44607</v>
      </c>
    </row>
    <row r="31" spans="1:22" s="44" customFormat="1" ht="25.5" x14ac:dyDescent="0.2">
      <c r="A31" s="42" t="s">
        <v>336</v>
      </c>
      <c r="B31" s="42" t="s">
        <v>319</v>
      </c>
      <c r="C31" s="42" t="s">
        <v>309</v>
      </c>
      <c r="D31" s="42" t="s">
        <v>337</v>
      </c>
      <c r="E31" s="42"/>
      <c r="F31" s="42"/>
      <c r="G31" s="42">
        <v>21</v>
      </c>
      <c r="H31" s="42" t="s">
        <v>278</v>
      </c>
      <c r="I31" s="42"/>
      <c r="J31" s="42">
        <v>120</v>
      </c>
      <c r="K31" s="42" t="s">
        <v>329</v>
      </c>
      <c r="L31" s="42" t="s">
        <v>329</v>
      </c>
      <c r="M31" s="42" t="s">
        <v>330</v>
      </c>
      <c r="N31" s="42"/>
      <c r="O31" s="42"/>
      <c r="P31" s="42"/>
      <c r="Q31" s="42" t="s">
        <v>331</v>
      </c>
      <c r="R31" s="42"/>
      <c r="S31" s="42"/>
      <c r="T31" s="42"/>
      <c r="U31" s="42"/>
      <c r="V31" s="43">
        <v>44607</v>
      </c>
    </row>
    <row r="32" spans="1:22" s="53" customFormat="1" ht="25.5" x14ac:dyDescent="0.2">
      <c r="A32" s="42" t="s">
        <v>315</v>
      </c>
      <c r="B32" s="42" t="s">
        <v>319</v>
      </c>
      <c r="C32" s="42" t="s">
        <v>315</v>
      </c>
      <c r="D32" s="42" t="s">
        <v>315</v>
      </c>
      <c r="E32" s="42"/>
      <c r="F32" s="42"/>
      <c r="G32" s="42">
        <v>1</v>
      </c>
      <c r="H32" s="42" t="s">
        <v>278</v>
      </c>
      <c r="I32" s="42"/>
      <c r="J32" s="42">
        <v>36</v>
      </c>
      <c r="K32" s="42" t="s">
        <v>285</v>
      </c>
      <c r="L32" s="42"/>
      <c r="M32" s="42"/>
      <c r="N32" s="42"/>
      <c r="O32" s="42"/>
      <c r="P32" s="42"/>
      <c r="Q32" s="42" t="s">
        <v>317</v>
      </c>
      <c r="R32" s="42"/>
      <c r="S32" s="42"/>
      <c r="T32" s="42"/>
      <c r="U32" s="42"/>
      <c r="V32" s="42"/>
    </row>
    <row r="33" spans="1:11" x14ac:dyDescent="0.2">
      <c r="A33" s="42" t="s">
        <v>312</v>
      </c>
      <c r="B33" s="42" t="s">
        <v>339</v>
      </c>
      <c r="C33" s="42" t="s">
        <v>309</v>
      </c>
      <c r="D33" s="42" t="s">
        <v>312</v>
      </c>
      <c r="G33" s="42" t="s">
        <v>340</v>
      </c>
      <c r="H33" s="53" t="s">
        <v>278</v>
      </c>
      <c r="I33" s="53"/>
      <c r="J33" s="42">
        <v>60</v>
      </c>
      <c r="K33" s="53" t="s">
        <v>285</v>
      </c>
    </row>
  </sheetData>
  <pageMargins left="0" right="0" top="0.39370078740157483" bottom="0.39370078740157483" header="0" footer="0"/>
  <pageSetup paperSize="9" orientation="portrait"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dimension ref="A1:A2"/>
  <sheetViews>
    <sheetView workbookViewId="0">
      <pane xSplit="1" ySplit="2" topLeftCell="B3" activePane="bottomRight" state="frozen"/>
      <selection pane="topRight" activeCell="A39" sqref="A39:B47"/>
      <selection pane="bottomLeft" activeCell="A39" sqref="A39:B47"/>
      <selection pane="bottomRight" activeCell="A3" sqref="A3"/>
    </sheetView>
  </sheetViews>
  <sheetFormatPr defaultColWidth="8.75" defaultRowHeight="12.75" x14ac:dyDescent="0.2"/>
  <cols>
    <col min="1" max="1" width="19.375" style="17" customWidth="1"/>
    <col min="2" max="16384" width="8.75" style="17"/>
  </cols>
  <sheetData>
    <row r="1" spans="1:1" s="15" customFormat="1" x14ac:dyDescent="0.2">
      <c r="A1" s="19" t="str">
        <f>CONCATENATE("Deelzaaktypen van zaaktype ",Zaaktype!B3,": ",Zaaktype!B4)</f>
        <v>Deelzaaktypen van zaaktype 22: Informatieplicht verwerken</v>
      </c>
    </row>
    <row r="2" spans="1:1" s="20" customFormat="1" x14ac:dyDescent="0.2">
      <c r="A2" s="28" t="s">
        <v>341</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9"/>
  <sheetViews>
    <sheetView workbookViewId="0">
      <pane xSplit="1" ySplit="2" topLeftCell="B3" activePane="bottomRight" state="frozen"/>
      <selection pane="topRight" activeCell="A39" sqref="A39:B47"/>
      <selection pane="bottomLeft" activeCell="A39" sqref="A39:B47"/>
      <selection pane="bottomRight"/>
    </sheetView>
  </sheetViews>
  <sheetFormatPr defaultColWidth="8.75" defaultRowHeight="12.75" x14ac:dyDescent="0.2"/>
  <cols>
    <col min="1" max="1" width="63.5" style="16" bestFit="1" customWidth="1"/>
    <col min="2" max="2" width="19.375" style="16" customWidth="1"/>
    <col min="3" max="3" width="56.5" style="16" customWidth="1"/>
    <col min="4" max="4" width="7" style="16" customWidth="1"/>
    <col min="5" max="1023" width="49.25" style="16" customWidth="1"/>
    <col min="1024" max="16384" width="8.75" style="17"/>
  </cols>
  <sheetData>
    <row r="1" spans="1:3" s="15" customFormat="1" x14ac:dyDescent="0.2">
      <c r="A1" s="14" t="str">
        <f>CONCATENATE("Gerelateerde zaaktypen van zaaktype ",Zaaktype!B3,": ",Zaaktype!B4)</f>
        <v>Gerelateerde zaaktypen van zaaktype 22: Informatieplicht verwerken</v>
      </c>
      <c r="B1" s="18"/>
      <c r="C1" s="18"/>
    </row>
    <row r="2" spans="1:3" x14ac:dyDescent="0.2">
      <c r="A2" s="1" t="s">
        <v>342</v>
      </c>
      <c r="B2" s="1" t="s">
        <v>343</v>
      </c>
      <c r="C2" s="1" t="s">
        <v>11</v>
      </c>
    </row>
    <row r="3" spans="1:3" ht="38.25" x14ac:dyDescent="0.2">
      <c r="A3" s="18" t="s">
        <v>344</v>
      </c>
      <c r="B3" s="8" t="s">
        <v>345</v>
      </c>
      <c r="C3" s="8" t="s">
        <v>346</v>
      </c>
    </row>
    <row r="4" spans="1:3" ht="38.25" x14ac:dyDescent="0.2">
      <c r="A4" s="18" t="s">
        <v>347</v>
      </c>
      <c r="B4" s="8" t="s">
        <v>345</v>
      </c>
      <c r="C4" s="8" t="s">
        <v>348</v>
      </c>
    </row>
    <row r="5" spans="1:3" ht="38.25" x14ac:dyDescent="0.2">
      <c r="A5" s="18" t="s">
        <v>349</v>
      </c>
      <c r="B5" s="6" t="s">
        <v>345</v>
      </c>
      <c r="C5" s="6" t="s">
        <v>350</v>
      </c>
    </row>
    <row r="6" spans="1:3" ht="96.75" customHeight="1" x14ac:dyDescent="0.2">
      <c r="A6" s="18" t="s">
        <v>351</v>
      </c>
      <c r="B6" s="6" t="s">
        <v>352</v>
      </c>
      <c r="C6" s="6" t="s">
        <v>353</v>
      </c>
    </row>
    <row r="7" spans="1:3" ht="38.25" x14ac:dyDescent="0.2">
      <c r="A7" s="18" t="s">
        <v>354</v>
      </c>
      <c r="B7" s="6" t="s">
        <v>345</v>
      </c>
      <c r="C7" s="6" t="s">
        <v>355</v>
      </c>
    </row>
    <row r="8" spans="1:3" ht="89.25" x14ac:dyDescent="0.2">
      <c r="A8" s="18" t="s">
        <v>347</v>
      </c>
      <c r="B8" s="11" t="s">
        <v>352</v>
      </c>
      <c r="C8" s="6" t="s">
        <v>356</v>
      </c>
    </row>
    <row r="9" spans="1:3" ht="89.25" x14ac:dyDescent="0.2">
      <c r="A9" s="18" t="s">
        <v>344</v>
      </c>
      <c r="B9" s="11" t="s">
        <v>352</v>
      </c>
      <c r="C9" s="6" t="s">
        <v>357</v>
      </c>
    </row>
  </sheetData>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heetViews>
  <sheetFormatPr defaultRowHeight="14.25" x14ac:dyDescent="0.2"/>
  <cols>
    <col min="1" max="1" width="10.625" customWidth="1"/>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74812-860A-494E-95EF-FB2FAC1D82AD}">
  <dimension ref="A1"/>
  <sheetViews>
    <sheetView workbookViewId="0"/>
  </sheetViews>
  <sheetFormatPr defaultRowHeight="14.2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2B4E76-6C12-44F0-BC56-0BBE9AA43238}">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2.xml><?xml version="1.0" encoding="utf-8"?>
<ds:datastoreItem xmlns:ds="http://schemas.openxmlformats.org/officeDocument/2006/customXml" ds:itemID="{68C860B6-D784-4223-98BB-91C8344351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79d546-6df6-42fe-9fc4-ce0f23b99d99"/>
    <ds:schemaRef ds:uri="bb9dad94-8ba3-42aa-94b4-e7db833c08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1CD386-6B83-43F9-893F-3E22507C0AD2}">
  <ds:schemaRefs>
    <ds:schemaRef ds:uri="http://schemas.microsoft.com/sharepoint/v3/contenttype/forms"/>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17</cp:revision>
  <dcterms:created xsi:type="dcterms:W3CDTF">2020-11-30T08:58:43Z</dcterms:created>
  <dcterms:modified xsi:type="dcterms:W3CDTF">2025-12-18T08:29:45Z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